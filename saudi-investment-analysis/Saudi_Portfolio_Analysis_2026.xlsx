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📚 منهجية التقييم" sheetId="1" state="visible" r:id="rId1"/>
    <sheet name="📊 نظرة عامة" sheetId="2" state="visible" r:id="rId2"/>
    <sheet name="💰 التوزيعات النقدية" sheetId="3" state="visible" r:id="rId3"/>
    <sheet name="📈 القوائم المالية" sheetId="4" state="visible" r:id="rId4"/>
    <sheet name="🎯 التقييم والقيمة العادلة" sheetId="5" state="visible" r:id="rId5"/>
    <sheet name="🏦 تقييمات المحللين" sheetId="6" state="visible" r:id="rId6"/>
    <sheet name="🏦 تكوين المحفظة" sheetId="7" state="visible" r:id="rId7"/>
    <sheet name="1120-الرا" sheetId="8" state="visible" r:id="rId8"/>
    <sheet name="1150-الإن" sheetId="9" state="visible" r:id="rId9"/>
    <sheet name="7010-STC" sheetId="10" state="visible" r:id="rId10"/>
    <sheet name="4263-سال" sheetId="11" state="visible" r:id="rId11"/>
    <sheet name="4002-المو" sheetId="12" state="visible" r:id="rId12"/>
    <sheet name="4260-بدجت" sheetId="13" state="visible" r:id="rId13"/>
    <sheet name="4003-اكست" sheetId="14" state="visible" r:id="rId14"/>
    <sheet name="2330-المت" sheetId="15" state="visible" r:id="rId15"/>
    <sheet name="4340-بنيا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1"/>
    <numFmt numFmtId="165" formatCode="#,##0.2"/>
    <numFmt numFmtId="166" formatCode="0.0%"/>
    <numFmt numFmtId="167" formatCode="#,##0.0"/>
  </numFmts>
  <fonts count="48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A1A2E"/>
      <sz val="10"/>
    </font>
    <font>
      <name val="Calibri"/>
      <color rgb="001A1A2E"/>
      <sz val="10"/>
    </font>
    <font>
      <name val="Calibri"/>
      <b val="1"/>
      <color rgb="00FFFFFF"/>
      <sz val="14"/>
    </font>
    <font>
      <name val="Calibri"/>
      <i val="1"/>
      <color rgb="00555555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i val="1"/>
      <color rgb="008B0000"/>
      <sz val="9"/>
    </font>
    <font>
      <name val="Calibri"/>
      <b val="1"/>
      <color rgb="00FFFFFF"/>
      <sz val="9"/>
    </font>
    <font>
      <name val="Calibri"/>
      <b val="1"/>
      <color rgb="001A3660"/>
      <sz val="9"/>
    </font>
    <font>
      <name val="Calibri"/>
      <color rgb="00333333"/>
      <sz val="9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2980B9"/>
      <sz val="9"/>
    </font>
    <font>
      <name val="Calibri"/>
      <b val="1"/>
      <color rgb="001A7F37"/>
      <sz val="9"/>
    </font>
    <font>
      <name val="Calibri"/>
      <i val="1"/>
      <color rgb="001A1A1A"/>
      <sz val="9"/>
    </font>
    <font>
      <name val="Calibri"/>
      <b val="1"/>
      <color rgb="00E67E22"/>
      <sz val="9"/>
    </font>
    <font>
      <name val="Calibri"/>
      <b val="1"/>
      <color rgb="00000000"/>
      <sz val="9"/>
    </font>
    <font>
      <name val="Calibri"/>
      <b val="1"/>
      <color rgb="00C0392B"/>
      <sz val="9"/>
    </font>
    <font>
      <name val="Calibri"/>
      <color rgb="00C0392B"/>
      <sz val="9"/>
    </font>
    <font>
      <name val="Calibri"/>
      <i val="1"/>
      <color rgb="002C3E50"/>
      <sz val="9"/>
    </font>
    <font>
      <name val="Calibri"/>
      <b val="1"/>
      <color rgb="001B2A4A"/>
      <sz val="10"/>
    </font>
    <font>
      <name val="Calibri"/>
      <b val="1"/>
      <color rgb="00E67E22"/>
      <sz val="10"/>
    </font>
    <font>
      <name val="Calibri"/>
      <b val="1"/>
      <color rgb="001A7F37"/>
      <sz val="10"/>
    </font>
    <font>
      <name val="Calibri"/>
      <b val="1"/>
      <color rgb="00C0392B"/>
      <sz val="10"/>
    </font>
    <font>
      <name val="Calibri"/>
      <color rgb="00888888"/>
      <sz val="10"/>
    </font>
    <font>
      <name val="Calibri"/>
      <color rgb="00555555"/>
      <sz val="10"/>
    </font>
    <font>
      <name val="Calibri"/>
      <i val="1"/>
      <color rgb="00555555"/>
      <sz val="8"/>
    </font>
    <font>
      <name val="Calibri"/>
      <i val="1"/>
      <color rgb="007D6608"/>
      <sz val="9"/>
    </font>
    <font>
      <name val="Calibri"/>
      <color rgb="00555555"/>
      <sz val="9"/>
    </font>
    <font>
      <name val="Calibri"/>
      <b val="1"/>
      <color rgb="001A7F37"/>
      <sz val="11"/>
    </font>
    <font>
      <name val="Calibri"/>
      <color rgb="001A1A2E"/>
      <sz val="9"/>
    </font>
    <font>
      <name val="Calibri"/>
      <i val="1"/>
      <color rgb="00FFFFFF"/>
      <sz val="9"/>
    </font>
    <font>
      <name val="Calibri"/>
      <b val="1"/>
      <color rgb="00C0392B"/>
      <sz val="11"/>
    </font>
    <font>
      <name val="Calibri"/>
      <b val="1"/>
      <color rgb="00555555"/>
      <sz val="11"/>
    </font>
    <font>
      <name val="Calibri"/>
      <b val="1"/>
      <color rgb="001B2A4A"/>
      <sz val="9"/>
    </font>
    <font>
      <name val="Calibri"/>
      <b val="1"/>
      <color rgb="001A237E"/>
      <sz val="10"/>
    </font>
    <font>
      <name val="Calibri"/>
      <b val="1"/>
      <color rgb="002E7D32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b val="1"/>
      <color rgb="002980B9"/>
      <sz val="10"/>
    </font>
    <font>
      <name val="Calibri"/>
      <b val="1"/>
      <color rgb="00BF360C"/>
      <sz val="10"/>
    </font>
    <font>
      <name val="Calibri"/>
      <b val="1"/>
      <color rgb="00455A64"/>
      <sz val="10"/>
    </font>
    <font>
      <name val="Calibri"/>
      <sz val="10"/>
    </font>
    <font>
      <name val="Calibri"/>
      <color rgb="001A7F37"/>
      <sz val="9"/>
    </font>
  </fonts>
  <fills count="5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E4172"/>
      </patternFill>
    </fill>
    <fill>
      <patternFill patternType="solid">
        <fgColor rgb="00EBF5FB"/>
      </patternFill>
    </fill>
    <fill>
      <patternFill patternType="solid">
        <fgColor rgb="00E8F8F5"/>
      </patternFill>
    </fill>
    <fill>
      <patternFill patternType="solid">
        <fgColor rgb="00FEF9E7"/>
      </patternFill>
    </fill>
    <fill>
      <patternFill patternType="solid">
        <fgColor rgb="00F9EBEA"/>
      </patternFill>
    </fill>
    <fill>
      <patternFill patternType="solid">
        <fgColor rgb="00F5EEF8"/>
      </patternFill>
    </fill>
    <fill>
      <patternFill patternType="solid">
        <fgColor rgb="00EAFAF1"/>
      </patternFill>
    </fill>
    <fill>
      <patternFill patternType="solid">
        <fgColor rgb="00FEF5E7"/>
      </patternFill>
    </fill>
    <fill>
      <patternFill patternType="solid">
        <fgColor rgb="00E8EAF6"/>
      </patternFill>
    </fill>
    <fill>
      <patternFill patternType="solid">
        <fgColor rgb="00EAF2FF"/>
      </patternFill>
    </fill>
    <fill>
      <patternFill patternType="solid">
        <fgColor rgb="001A6B30"/>
      </patternFill>
    </fill>
    <fill>
      <patternFill patternType="solid">
        <fgColor rgb="00FFF8E1"/>
      </patternFill>
    </fill>
    <fill>
      <patternFill patternType="solid">
        <fgColor rgb="001A7F37"/>
      </patternFill>
    </fill>
    <fill>
      <patternFill patternType="solid">
        <fgColor rgb="00E67E22"/>
      </patternFill>
    </fill>
    <fill>
      <patternFill patternType="solid">
        <fgColor rgb="00F0FFF0"/>
      </patternFill>
    </fill>
    <fill>
      <patternFill patternType="solid">
        <fgColor rgb="002980B9"/>
      </patternFill>
    </fill>
    <fill>
      <patternFill patternType="solid">
        <fgColor rgb="00C0392B"/>
      </patternFill>
    </fill>
    <fill>
      <patternFill patternType="solid">
        <fgColor rgb="00FFF9C4"/>
      </patternFill>
    </fill>
    <fill>
      <patternFill patternType="solid">
        <fgColor rgb="001B3A6B"/>
      </patternFill>
    </fill>
    <fill>
      <patternFill patternType="solid">
        <fgColor rgb="002E5090"/>
      </patternFill>
    </fill>
    <fill>
      <patternFill patternType="solid">
        <fgColor rgb="00DCE8F8"/>
      </patternFill>
    </fill>
    <fill>
      <patternFill patternType="solid">
        <fgColor rgb="00EEF4FF"/>
      </patternFill>
    </fill>
    <fill>
      <patternFill patternType="solid">
        <fgColor rgb="00E8F0FD"/>
      </patternFill>
    </fill>
    <fill>
      <patternFill patternType="solid">
        <fgColor rgb="00F8FAFF"/>
      </patternFill>
    </fill>
    <fill>
      <patternFill patternType="solid">
        <fgColor rgb="00D5F5E3"/>
      </patternFill>
    </fill>
    <fill>
      <patternFill patternType="solid">
        <fgColor rgb="00FFFDE7"/>
      </patternFill>
    </fill>
    <fill>
      <patternFill patternType="solid">
        <fgColor rgb="00FADBD8"/>
      </patternFill>
    </fill>
    <fill>
      <patternFill patternType="solid">
        <fgColor rgb="00F2F3F4"/>
      </patternFill>
    </fill>
    <fill>
      <patternFill patternType="solid">
        <fgColor rgb="002E6B8A"/>
      </patternFill>
    </fill>
    <fill>
      <patternFill patternType="solid">
        <fgColor rgb="00D6E4F0"/>
      </patternFill>
    </fill>
    <fill>
      <patternFill patternType="solid">
        <fgColor rgb="00EAF4FB"/>
      </patternFill>
    </fill>
    <fill>
      <patternFill patternType="solid">
        <fgColor rgb="00154360"/>
      </patternFill>
    </fill>
    <fill>
      <patternFill patternType="solid">
        <fgColor rgb="001A5276"/>
      </patternFill>
    </fill>
    <fill>
      <patternFill patternType="solid">
        <fgColor rgb="00145A32"/>
      </patternFill>
    </fill>
    <fill>
      <patternFill patternType="solid">
        <fgColor rgb="007B241C"/>
      </patternFill>
    </fill>
    <fill>
      <patternFill patternType="solid">
        <fgColor rgb="006C3483"/>
      </patternFill>
    </fill>
    <fill>
      <patternFill patternType="solid">
        <fgColor rgb="001B4F72"/>
      </patternFill>
    </fill>
    <fill>
      <patternFill patternType="solid">
        <fgColor rgb="00C9A84C"/>
      </patternFill>
    </fill>
    <fill>
      <patternFill patternType="solid">
        <fgColor rgb="00FDFEFE"/>
      </patternFill>
    </fill>
    <fill>
      <patternFill patternType="solid">
        <fgColor rgb="00F8F9FA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FDEBD0"/>
      </patternFill>
    </fill>
    <fill>
      <patternFill patternType="solid">
        <fgColor rgb="00FFF3E0"/>
      </patternFill>
    </fill>
    <fill>
      <patternFill patternType="solid">
        <fgColor rgb="00ECEFF1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DEDEC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8D8F0"/>
      </left>
      <right style="thin">
        <color rgb="00C8D8F0"/>
      </right>
      <top style="thin">
        <color rgb="00C8D8F0"/>
      </top>
      <bottom style="thin">
        <color rgb="00C8D8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A5D6A7"/>
      </left>
      <right style="thin">
        <color rgb="00A5D6A7"/>
      </right>
      <top style="thin">
        <color rgb="00A5D6A7"/>
      </top>
      <bottom style="thin">
        <color rgb="00A5D6A7"/>
      </bottom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 readingOrder="2"/>
    </xf>
    <xf numFmtId="0" fontId="3" fillId="4" borderId="1" applyAlignment="1" pivotButton="0" quotePrefix="0" xfId="0">
      <alignment horizontal="right" vertical="center" wrapText="1" readingOrder="2"/>
    </xf>
    <xf numFmtId="0" fontId="4" fillId="4" borderId="1" applyAlignment="1" pivotButton="0" quotePrefix="0" xfId="0">
      <alignment horizontal="right" vertical="center" wrapText="1" readingOrder="2"/>
    </xf>
    <xf numFmtId="0" fontId="3" fillId="5" borderId="1" applyAlignment="1" pivotButton="0" quotePrefix="0" xfId="0">
      <alignment horizontal="right" vertical="center" wrapText="1" readingOrder="2"/>
    </xf>
    <xf numFmtId="0" fontId="4" fillId="5" borderId="1" applyAlignment="1" pivotButton="0" quotePrefix="0" xfId="0">
      <alignment horizontal="right" vertical="center" wrapText="1" readingOrder="2"/>
    </xf>
    <xf numFmtId="0" fontId="3" fillId="6" borderId="1" applyAlignment="1" pivotButton="0" quotePrefix="0" xfId="0">
      <alignment horizontal="right" vertical="center" wrapText="1" readingOrder="2"/>
    </xf>
    <xf numFmtId="0" fontId="4" fillId="6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right" vertical="center" wrapText="1" readingOrder="2"/>
    </xf>
    <xf numFmtId="0" fontId="4" fillId="7" borderId="1" applyAlignment="1" pivotButton="0" quotePrefix="0" xfId="0">
      <alignment horizontal="right" vertical="center" wrapText="1" readingOrder="2"/>
    </xf>
    <xf numFmtId="0" fontId="3" fillId="8" borderId="1" applyAlignment="1" pivotButton="0" quotePrefix="0" xfId="0">
      <alignment horizontal="right" vertical="center" wrapText="1" readingOrder="2"/>
    </xf>
    <xf numFmtId="0" fontId="4" fillId="8" borderId="1" applyAlignment="1" pivotButton="0" quotePrefix="0" xfId="0">
      <alignment horizontal="right" vertical="center" wrapText="1" readingOrder="2"/>
    </xf>
    <xf numFmtId="0" fontId="3" fillId="9" borderId="1" applyAlignment="1" pivotButton="0" quotePrefix="0" xfId="0">
      <alignment horizontal="right" vertical="center" wrapText="1" readingOrder="2"/>
    </xf>
    <xf numFmtId="0" fontId="4" fillId="9" borderId="1" applyAlignment="1" pivotButton="0" quotePrefix="0" xfId="0">
      <alignment horizontal="right" vertical="center" wrapText="1" readingOrder="2"/>
    </xf>
    <xf numFmtId="0" fontId="3" fillId="10" borderId="1" applyAlignment="1" pivotButton="0" quotePrefix="0" xfId="0">
      <alignment horizontal="right" vertical="center" wrapText="1" readingOrder="2"/>
    </xf>
    <xf numFmtId="0" fontId="4" fillId="10" borderId="1" applyAlignment="1" pivotButton="0" quotePrefix="0" xfId="0">
      <alignment horizontal="right" vertical="center" wrapText="1" readingOrder="2"/>
    </xf>
    <xf numFmtId="0" fontId="3" fillId="11" borderId="1" applyAlignment="1" pivotButton="0" quotePrefix="0" xfId="0">
      <alignment horizontal="right" vertical="center" wrapText="1" readingOrder="2"/>
    </xf>
    <xf numFmtId="0" fontId="4" fillId="11" borderId="1" applyAlignment="1" pivotButton="0" quotePrefix="0" xfId="0">
      <alignment horizontal="right" vertical="center" wrapText="1" readingOrder="2"/>
    </xf>
    <xf numFmtId="0" fontId="2" fillId="2" borderId="0" applyAlignment="1" pivotButton="0" quotePrefix="0" xfId="0">
      <alignment horizontal="right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4" fontId="8" fillId="12" borderId="1" applyAlignment="1" pivotButton="0" quotePrefix="0" xfId="0">
      <alignment horizontal="center" vertical="center" wrapText="1"/>
    </xf>
    <xf numFmtId="3" fontId="8" fillId="12" borderId="1" applyAlignment="1" pivotButton="0" quotePrefix="0" xfId="0">
      <alignment horizontal="center" vertical="center" wrapText="1"/>
    </xf>
    <xf numFmtId="164" fontId="8" fillId="12" borderId="1" applyAlignment="1" pivotButton="0" quotePrefix="0" xfId="0">
      <alignment horizontal="center" vertical="center" wrapText="1"/>
    </xf>
    <xf numFmtId="165" fontId="8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4" fontId="8" fillId="14" borderId="1" applyAlignment="1" pivotButton="0" quotePrefix="0" xfId="0">
      <alignment horizontal="center" vertical="center" wrapText="1"/>
    </xf>
    <xf numFmtId="3" fontId="8" fillId="14" borderId="1" applyAlignment="1" pivotButton="0" quotePrefix="0" xfId="0">
      <alignment horizontal="center" vertical="center" wrapText="1"/>
    </xf>
    <xf numFmtId="164" fontId="8" fillId="14" borderId="1" applyAlignment="1" pivotButton="0" quotePrefix="0" xfId="0">
      <alignment horizontal="center" vertical="center" wrapText="1"/>
    </xf>
    <xf numFmtId="165" fontId="8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center" vertical="center" wrapText="1"/>
    </xf>
    <xf numFmtId="0" fontId="8" fillId="17" borderId="1" applyAlignment="1" pivotButton="0" quotePrefix="0" xfId="0">
      <alignment horizontal="center" vertical="center" wrapText="1"/>
    </xf>
    <xf numFmtId="4" fontId="8" fillId="17" borderId="1" applyAlignment="1" pivotButton="0" quotePrefix="0" xfId="0">
      <alignment horizontal="center" vertical="center" wrapText="1"/>
    </xf>
    <xf numFmtId="3" fontId="8" fillId="17" borderId="1" applyAlignment="1" pivotButton="0" quotePrefix="0" xfId="0">
      <alignment horizontal="center" vertical="center" wrapText="1"/>
    </xf>
    <xf numFmtId="164" fontId="8" fillId="17" borderId="1" applyAlignment="1" pivotButton="0" quotePrefix="0" xfId="0">
      <alignment horizontal="center" vertical="center" wrapText="1"/>
    </xf>
    <xf numFmtId="165" fontId="8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9" fillId="20" borderId="0" applyAlignment="1" pivotButton="0" quotePrefix="0" xfId="0">
      <alignment horizontal="right" vertical="center" wrapText="1"/>
    </xf>
    <xf numFmtId="0" fontId="2" fillId="21" borderId="0" applyAlignment="1" pivotButton="0" quotePrefix="0" xfId="0">
      <alignment horizontal="right" vertical="center" readingOrder="2"/>
    </xf>
    <xf numFmtId="0" fontId="10" fillId="22" borderId="1" applyAlignment="1" pivotButton="0" quotePrefix="0" xfId="0">
      <alignment horizontal="center" vertical="center" wrapText="1"/>
    </xf>
    <xf numFmtId="0" fontId="11" fillId="23" borderId="2" applyAlignment="1" pivotButton="0" quotePrefix="0" xfId="0">
      <alignment horizontal="right" vertical="center" readingOrder="2"/>
    </xf>
    <xf numFmtId="0" fontId="12" fillId="24" borderId="2" applyAlignment="1" pivotButton="0" quotePrefix="0" xfId="0">
      <alignment horizontal="right" vertical="center" wrapText="1" readingOrder="2"/>
    </xf>
    <xf numFmtId="0" fontId="11" fillId="25" borderId="2" applyAlignment="1" pivotButton="0" quotePrefix="0" xfId="0">
      <alignment horizontal="right" vertical="center" readingOrder="2"/>
    </xf>
    <xf numFmtId="0" fontId="12" fillId="26" borderId="2" applyAlignment="1" pivotButton="0" quotePrefix="0" xfId="0">
      <alignment horizontal="right" vertical="center" wrapText="1" readingOrder="2"/>
    </xf>
    <xf numFmtId="0" fontId="13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15" fillId="27" borderId="3" applyAlignment="1" pivotButton="0" quotePrefix="0" xfId="0">
      <alignment horizontal="left" vertical="center" wrapText="1"/>
    </xf>
    <xf numFmtId="0" fontId="15" fillId="27" borderId="3" applyAlignment="1" pivotButton="0" quotePrefix="0" xfId="0">
      <alignment horizontal="center" vertical="center" wrapText="1"/>
    </xf>
    <xf numFmtId="166" fontId="16" fillId="27" borderId="3" applyAlignment="1" pivotButton="0" quotePrefix="0" xfId="0">
      <alignment horizontal="center" vertical="center" wrapText="1"/>
    </xf>
    <xf numFmtId="166" fontId="17" fillId="27" borderId="3" applyAlignment="1" pivotButton="0" quotePrefix="0" xfId="0">
      <alignment horizontal="center" vertical="center" wrapText="1"/>
    </xf>
    <xf numFmtId="0" fontId="18" fillId="28" borderId="0" applyAlignment="1" pivotButton="0" quotePrefix="0" xfId="0">
      <alignment horizontal="left" vertical="center" wrapText="1"/>
    </xf>
    <xf numFmtId="166" fontId="19" fillId="27" borderId="3" applyAlignment="1" pivotButton="0" quotePrefix="0" xfId="0">
      <alignment horizontal="center" vertical="center" wrapText="1"/>
    </xf>
    <xf numFmtId="0" fontId="15" fillId="29" borderId="3" applyAlignment="1" pivotButton="0" quotePrefix="0" xfId="0">
      <alignment horizontal="left" vertical="center" wrapText="1"/>
    </xf>
    <xf numFmtId="0" fontId="15" fillId="29" borderId="3" applyAlignment="1" pivotButton="0" quotePrefix="0" xfId="0">
      <alignment horizontal="center" vertical="center" wrapText="1"/>
    </xf>
    <xf numFmtId="166" fontId="16" fillId="29" borderId="3" applyAlignment="1" pivotButton="0" quotePrefix="0" xfId="0">
      <alignment horizontal="center" vertical="center" wrapText="1"/>
    </xf>
    <xf numFmtId="0" fontId="15" fillId="30" borderId="3" applyAlignment="1" pivotButton="0" quotePrefix="0" xfId="0">
      <alignment horizontal="left" vertical="center" wrapText="1"/>
    </xf>
    <xf numFmtId="0" fontId="15" fillId="30" borderId="3" applyAlignment="1" pivotButton="0" quotePrefix="0" xfId="0">
      <alignment horizontal="center" vertical="center" wrapText="1"/>
    </xf>
    <xf numFmtId="166" fontId="16" fillId="30" borderId="3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31" borderId="0" applyAlignment="1" pivotButton="0" quotePrefix="0" xfId="0">
      <alignment horizontal="center" vertical="center" wrapText="1"/>
    </xf>
    <xf numFmtId="0" fontId="20" fillId="32" borderId="3" applyAlignment="1" pivotButton="0" quotePrefix="0" xfId="0">
      <alignment horizontal="left" vertical="center" wrapText="1"/>
    </xf>
    <xf numFmtId="3" fontId="15" fillId="32" borderId="3" applyAlignment="1" pivotButton="0" quotePrefix="0" xfId="0">
      <alignment horizontal="center" vertical="center" wrapText="1"/>
    </xf>
    <xf numFmtId="0" fontId="17" fillId="32" borderId="3" applyAlignment="1" pivotButton="0" quotePrefix="0" xfId="0">
      <alignment horizontal="center" vertical="center" wrapText="1"/>
    </xf>
    <xf numFmtId="0" fontId="20" fillId="20" borderId="3" applyAlignment="1" pivotButton="0" quotePrefix="0" xfId="0">
      <alignment horizontal="left" vertical="center" wrapText="1"/>
    </xf>
    <xf numFmtId="3" fontId="15" fillId="20" borderId="3" applyAlignment="1" pivotButton="0" quotePrefix="0" xfId="0">
      <alignment horizontal="center" vertical="center" wrapText="1"/>
    </xf>
    <xf numFmtId="0" fontId="17" fillId="20" borderId="3" applyAlignment="1" pivotButton="0" quotePrefix="0" xfId="0">
      <alignment horizontal="center" vertical="center" wrapText="1"/>
    </xf>
    <xf numFmtId="0" fontId="20" fillId="30" borderId="3" applyAlignment="1" pivotButton="0" quotePrefix="0" xfId="0">
      <alignment horizontal="left" vertical="center" wrapText="1"/>
    </xf>
    <xf numFmtId="3" fontId="15" fillId="30" borderId="3" applyAlignment="1" pivotButton="0" quotePrefix="0" xfId="0">
      <alignment horizontal="center" vertical="center" wrapText="1"/>
    </xf>
    <xf numFmtId="0" fontId="17" fillId="30" borderId="3" applyAlignment="1" pivotButton="0" quotePrefix="0" xfId="0">
      <alignment horizontal="center" vertical="center" wrapText="1"/>
    </xf>
    <xf numFmtId="0" fontId="19" fillId="30" borderId="3" applyAlignment="1" pivotButton="0" quotePrefix="0" xfId="0">
      <alignment horizontal="center" vertical="center" wrapText="1"/>
    </xf>
    <xf numFmtId="0" fontId="21" fillId="20" borderId="3" applyAlignment="1" pivotButton="0" quotePrefix="0" xfId="0">
      <alignment horizontal="center" vertical="center" wrapText="1"/>
    </xf>
    <xf numFmtId="0" fontId="21" fillId="30" borderId="3" applyAlignment="1" pivotButton="0" quotePrefix="0" xfId="0">
      <alignment horizontal="center" vertical="center" wrapText="1"/>
    </xf>
    <xf numFmtId="0" fontId="21" fillId="32" borderId="3" applyAlignment="1" pivotButton="0" quotePrefix="0" xfId="0">
      <alignment horizontal="center" vertical="center" wrapText="1"/>
    </xf>
    <xf numFmtId="3" fontId="22" fillId="20" borderId="3" applyAlignment="1" pivotButton="0" quotePrefix="0" xfId="0">
      <alignment horizontal="center" vertical="center" wrapText="1"/>
    </xf>
    <xf numFmtId="0" fontId="0" fillId="20" borderId="3" applyAlignment="1" pivotButton="0" quotePrefix="0" xfId="0">
      <alignment horizontal="center" vertical="center" wrapText="1"/>
    </xf>
    <xf numFmtId="0" fontId="23" fillId="33" borderId="0" applyAlignment="1" pivotButton="0" quotePrefix="0" xfId="0">
      <alignment horizontal="right" vertical="center"/>
    </xf>
    <xf numFmtId="0" fontId="10" fillId="2" borderId="1" applyAlignment="1" pivotButton="0" quotePrefix="0" xfId="0">
      <alignment horizontal="center" vertical="center" wrapText="1"/>
    </xf>
    <xf numFmtId="0" fontId="10" fillId="34" borderId="1" applyAlignment="1" pivotButton="0" quotePrefix="0" xfId="0">
      <alignment horizontal="center" vertical="center" wrapText="1"/>
    </xf>
    <xf numFmtId="0" fontId="10" fillId="35" borderId="1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 wrapText="1"/>
    </xf>
    <xf numFmtId="0" fontId="10" fillId="37" borderId="1" applyAlignment="1" pivotButton="0" quotePrefix="0" xfId="0">
      <alignment horizontal="center" vertical="center" wrapText="1"/>
    </xf>
    <xf numFmtId="0" fontId="10" fillId="38" borderId="1" applyAlignment="1" pivotButton="0" quotePrefix="0" xfId="0">
      <alignment horizontal="center" vertical="center" wrapText="1"/>
    </xf>
    <xf numFmtId="0" fontId="10" fillId="39" borderId="1" applyAlignment="1" pivotButton="0" quotePrefix="0" xfId="0">
      <alignment horizontal="center" vertical="center" wrapText="1"/>
    </xf>
    <xf numFmtId="0" fontId="10" fillId="4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4" fontId="2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center" vertical="center" wrapText="1"/>
    </xf>
    <xf numFmtId="4" fontId="25" fillId="4" borderId="1" applyAlignment="1" pivotButton="0" quotePrefix="0" xfId="0">
      <alignment horizontal="center" vertical="center" wrapText="1"/>
    </xf>
    <xf numFmtId="167" fontId="26" fillId="4" borderId="1" applyAlignment="1" pivotButton="0" quotePrefix="0" xfId="0">
      <alignment horizontal="center" vertical="center" wrapText="1"/>
    </xf>
    <xf numFmtId="167" fontId="27" fillId="4" borderId="1" applyAlignment="1" pivotButton="0" quotePrefix="0" xfId="0">
      <alignment horizontal="center" vertical="center" wrapText="1"/>
    </xf>
    <xf numFmtId="0" fontId="28" fillId="4" borderId="1" applyAlignment="1" pivotButton="0" quotePrefix="0" xfId="0">
      <alignment horizontal="center" vertical="center" wrapText="1"/>
    </xf>
    <xf numFmtId="0" fontId="2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" fontId="2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4" fontId="26" fillId="5" borderId="1" applyAlignment="1" pivotButton="0" quotePrefix="0" xfId="0">
      <alignment horizontal="center" vertical="center" wrapText="1"/>
    </xf>
    <xf numFmtId="167" fontId="26" fillId="5" borderId="1" applyAlignment="1" pivotButton="0" quotePrefix="0" xfId="0">
      <alignment horizontal="center" vertical="center" wrapText="1"/>
    </xf>
    <xf numFmtId="167" fontId="27" fillId="5" borderId="1" applyAlignment="1" pivotButton="0" quotePrefix="0" xfId="0">
      <alignment horizontal="center" vertical="center" wrapText="1"/>
    </xf>
    <xf numFmtId="0" fontId="28" fillId="5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" fontId="2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67" fontId="4" fillId="7" borderId="1" applyAlignment="1" pivotButton="0" quotePrefix="0" xfId="0">
      <alignment horizontal="center" vertical="center" wrapText="1"/>
    </xf>
    <xf numFmtId="4" fontId="26" fillId="7" borderId="1" applyAlignment="1" pivotButton="0" quotePrefix="0" xfId="0">
      <alignment horizontal="center" vertical="center" wrapText="1"/>
    </xf>
    <xf numFmtId="167" fontId="26" fillId="7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4" fontId="24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167" fontId="4" fillId="9" borderId="1" applyAlignment="1" pivotButton="0" quotePrefix="0" xfId="0">
      <alignment horizontal="center" vertical="center" wrapText="1"/>
    </xf>
    <xf numFmtId="4" fontId="26" fillId="9" borderId="1" applyAlignment="1" pivotButton="0" quotePrefix="0" xfId="0">
      <alignment horizontal="center" vertical="center" wrapText="1"/>
    </xf>
    <xf numFmtId="167" fontId="26" fillId="9" borderId="1" applyAlignment="1" pivotButton="0" quotePrefix="0" xfId="0">
      <alignment horizontal="center" vertical="center" wrapText="1"/>
    </xf>
    <xf numFmtId="167" fontId="27" fillId="9" borderId="1" applyAlignment="1" pivotButton="0" quotePrefix="0" xfId="0">
      <alignment horizontal="center" vertical="center" wrapText="1"/>
    </xf>
    <xf numFmtId="0" fontId="25" fillId="9" borderId="1" applyAlignment="1" pivotButton="0" quotePrefix="0" xfId="0">
      <alignment horizontal="center" vertical="center" wrapText="1"/>
    </xf>
    <xf numFmtId="0" fontId="3" fillId="41" borderId="1" applyAlignment="1" pivotButton="0" quotePrefix="0" xfId="0">
      <alignment horizontal="center" vertical="center" wrapText="1"/>
    </xf>
    <xf numFmtId="4" fontId="24" fillId="41" borderId="1" applyAlignment="1" pivotButton="0" quotePrefix="0" xfId="0">
      <alignment horizontal="center" vertical="center" wrapText="1"/>
    </xf>
    <xf numFmtId="0" fontId="4" fillId="41" borderId="1" applyAlignment="1" pivotButton="0" quotePrefix="0" xfId="0">
      <alignment horizontal="center" vertical="center" wrapText="1"/>
    </xf>
    <xf numFmtId="164" fontId="4" fillId="41" borderId="1" applyAlignment="1" pivotButton="0" quotePrefix="0" xfId="0">
      <alignment horizontal="center" vertical="center" wrapText="1"/>
    </xf>
    <xf numFmtId="167" fontId="4" fillId="41" borderId="1" applyAlignment="1" pivotButton="0" quotePrefix="0" xfId="0">
      <alignment horizontal="center" vertical="center" wrapText="1"/>
    </xf>
    <xf numFmtId="4" fontId="27" fillId="41" borderId="1" applyAlignment="1" pivotButton="0" quotePrefix="0" xfId="0">
      <alignment horizontal="center" vertical="center" wrapText="1"/>
    </xf>
    <xf numFmtId="167" fontId="26" fillId="41" borderId="1" applyAlignment="1" pivotButton="0" quotePrefix="0" xfId="0">
      <alignment horizontal="center" vertical="center" wrapText="1"/>
    </xf>
    <xf numFmtId="167" fontId="27" fillId="41" borderId="1" applyAlignment="1" pivotButton="0" quotePrefix="0" xfId="0">
      <alignment horizontal="center" vertical="center" wrapText="1"/>
    </xf>
    <xf numFmtId="0" fontId="26" fillId="41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" fontId="2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7" fontId="4" fillId="6" borderId="1" applyAlignment="1" pivotButton="0" quotePrefix="0" xfId="0">
      <alignment horizontal="center" vertical="center" wrapText="1"/>
    </xf>
    <xf numFmtId="4" fontId="26" fillId="6" borderId="1" applyAlignment="1" pivotButton="0" quotePrefix="0" xfId="0">
      <alignment horizontal="center" vertical="center" wrapText="1"/>
    </xf>
    <xf numFmtId="167" fontId="27" fillId="6" borderId="1" applyAlignment="1" pivotButton="0" quotePrefix="0" xfId="0">
      <alignment horizontal="center" vertical="center" wrapText="1"/>
    </xf>
    <xf numFmtId="167" fontId="26" fillId="6" borderId="1" applyAlignment="1" pivotButton="0" quotePrefix="0" xfId="0">
      <alignment horizontal="center" vertical="center" wrapText="1"/>
    </xf>
    <xf numFmtId="0" fontId="27" fillId="6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4" fontId="24" fillId="8" borderId="1" applyAlignment="1" pivotButton="0" quotePrefix="0" xfId="0">
      <alignment horizontal="center" vertical="center" wrapText="1"/>
    </xf>
    <xf numFmtId="0" fontId="29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167" fontId="26" fillId="8" borderId="1" applyAlignment="1" pivotButton="0" quotePrefix="0" xfId="0">
      <alignment horizontal="center" vertical="center" wrapText="1"/>
    </xf>
    <xf numFmtId="167" fontId="27" fillId="8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4" fontId="24" fillId="12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4" fontId="25" fillId="12" borderId="1" applyAlignment="1" pivotButton="0" quotePrefix="0" xfId="0">
      <alignment horizontal="center" vertical="center" wrapText="1"/>
    </xf>
    <xf numFmtId="167" fontId="26" fillId="12" borderId="1" applyAlignment="1" pivotButton="0" quotePrefix="0" xfId="0">
      <alignment horizontal="center" vertical="center" wrapText="1"/>
    </xf>
    <xf numFmtId="0" fontId="28" fillId="12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30" fillId="42" borderId="0" applyAlignment="1" pivotButton="0" quotePrefix="0" xfId="0">
      <alignment horizontal="right" vertical="center" wrapText="1"/>
    </xf>
    <xf numFmtId="0" fontId="31" fillId="6" borderId="0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3" borderId="1" applyAlignment="1" pivotButton="0" quotePrefix="0" xfId="0">
      <alignment horizontal="center" vertical="center" wrapText="1"/>
    </xf>
    <xf numFmtId="0" fontId="32" fillId="43" borderId="1" applyAlignment="1" pivotButton="0" quotePrefix="0" xfId="0">
      <alignment horizontal="center" vertical="center" wrapText="1"/>
    </xf>
    <xf numFmtId="4" fontId="24" fillId="43" borderId="1" applyAlignment="1" pivotButton="0" quotePrefix="0" xfId="0">
      <alignment horizontal="center" vertical="center" wrapText="1"/>
    </xf>
    <xf numFmtId="0" fontId="4" fillId="43" borderId="1" applyAlignment="1" pivotButton="0" quotePrefix="0" xfId="0">
      <alignment horizontal="right" vertical="center"/>
    </xf>
    <xf numFmtId="4" fontId="33" fillId="43" borderId="1" applyAlignment="1" pivotButton="0" quotePrefix="0" xfId="0">
      <alignment horizontal="center" vertical="center" wrapText="1"/>
    </xf>
    <xf numFmtId="0" fontId="34" fillId="43" borderId="1" applyAlignment="1" pivotButton="0" quotePrefix="0" xfId="0">
      <alignment horizontal="center" vertical="center" wrapText="1"/>
    </xf>
    <xf numFmtId="0" fontId="26" fillId="43" borderId="1" applyAlignment="1" pivotButton="0" quotePrefix="0" xfId="0">
      <alignment horizontal="center" vertical="center" wrapText="1"/>
    </xf>
    <xf numFmtId="0" fontId="0" fillId="43" borderId="1" pivotButton="0" quotePrefix="0" xfId="0"/>
    <xf numFmtId="0" fontId="35" fillId="3" borderId="0" applyAlignment="1" pivotButton="0" quotePrefix="0" xfId="0">
      <alignment horizontal="right" vertical="center"/>
    </xf>
    <xf numFmtId="0" fontId="25" fillId="43" borderId="1" applyAlignment="1" pivotButton="0" quotePrefix="0" xfId="0">
      <alignment horizontal="center" vertical="center" wrapText="1"/>
    </xf>
    <xf numFmtId="0" fontId="3" fillId="44" borderId="1" applyAlignment="1" pivotButton="0" quotePrefix="0" xfId="0">
      <alignment horizontal="center" vertical="center" wrapText="1"/>
    </xf>
    <xf numFmtId="0" fontId="32" fillId="44" borderId="1" applyAlignment="1" pivotButton="0" quotePrefix="0" xfId="0">
      <alignment horizontal="center" vertical="center" wrapText="1"/>
    </xf>
    <xf numFmtId="4" fontId="24" fillId="44" borderId="1" applyAlignment="1" pivotButton="0" quotePrefix="0" xfId="0">
      <alignment horizontal="center" vertical="center" wrapText="1"/>
    </xf>
    <xf numFmtId="0" fontId="4" fillId="44" borderId="1" applyAlignment="1" pivotButton="0" quotePrefix="0" xfId="0">
      <alignment horizontal="right" vertical="center"/>
    </xf>
    <xf numFmtId="4" fontId="33" fillId="44" borderId="1" applyAlignment="1" pivotButton="0" quotePrefix="0" xfId="0">
      <alignment horizontal="center" vertical="center" wrapText="1"/>
    </xf>
    <xf numFmtId="0" fontId="34" fillId="44" borderId="1" applyAlignment="1" pivotButton="0" quotePrefix="0" xfId="0">
      <alignment horizontal="center" vertical="center" wrapText="1"/>
    </xf>
    <xf numFmtId="0" fontId="26" fillId="44" borderId="1" applyAlignment="1" pivotButton="0" quotePrefix="0" xfId="0">
      <alignment horizontal="center" vertical="center" wrapText="1"/>
    </xf>
    <xf numFmtId="0" fontId="0" fillId="44" borderId="1" pivotButton="0" quotePrefix="0" xfId="0"/>
    <xf numFmtId="4" fontId="36" fillId="44" borderId="1" applyAlignment="1" pivotButton="0" quotePrefix="0" xfId="0">
      <alignment horizontal="center" vertical="center" wrapText="1"/>
    </xf>
    <xf numFmtId="0" fontId="27" fillId="44" borderId="1" applyAlignment="1" pivotButton="0" quotePrefix="0" xfId="0">
      <alignment horizontal="center" vertical="center" wrapText="1"/>
    </xf>
    <xf numFmtId="0" fontId="3" fillId="27" borderId="1" applyAlignment="1" pivotButton="0" quotePrefix="0" xfId="0">
      <alignment horizontal="center" vertical="center" wrapText="1"/>
    </xf>
    <xf numFmtId="0" fontId="32" fillId="27" borderId="1" applyAlignment="1" pivotButton="0" quotePrefix="0" xfId="0">
      <alignment horizontal="center" vertical="center" wrapText="1"/>
    </xf>
    <xf numFmtId="4" fontId="24" fillId="27" borderId="1" applyAlignment="1" pivotButton="0" quotePrefix="0" xfId="0">
      <alignment horizontal="center" vertical="center" wrapText="1"/>
    </xf>
    <xf numFmtId="0" fontId="4" fillId="27" borderId="1" applyAlignment="1" pivotButton="0" quotePrefix="0" xfId="0">
      <alignment horizontal="right" vertical="center"/>
    </xf>
    <xf numFmtId="4" fontId="33" fillId="27" borderId="1" applyAlignment="1" pivotButton="0" quotePrefix="0" xfId="0">
      <alignment horizontal="center" vertical="center" wrapText="1"/>
    </xf>
    <xf numFmtId="0" fontId="34" fillId="27" borderId="1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0" fillId="27" borderId="1" pivotButton="0" quotePrefix="0" xfId="0"/>
    <xf numFmtId="4" fontId="36" fillId="27" borderId="1" applyAlignment="1" pivotButton="0" quotePrefix="0" xfId="0">
      <alignment horizontal="center" vertical="center" wrapText="1"/>
    </xf>
    <xf numFmtId="0" fontId="25" fillId="27" borderId="1" applyAlignment="1" pivotButton="0" quotePrefix="0" xfId="0">
      <alignment horizontal="center" vertical="center" wrapText="1"/>
    </xf>
    <xf numFmtId="0" fontId="3" fillId="29" borderId="1" applyAlignment="1" pivotButton="0" quotePrefix="0" xfId="0">
      <alignment horizontal="center" vertical="center" wrapText="1"/>
    </xf>
    <xf numFmtId="0" fontId="32" fillId="29" borderId="1" applyAlignment="1" pivotButton="0" quotePrefix="0" xfId="0">
      <alignment horizontal="center" vertical="center" wrapText="1"/>
    </xf>
    <xf numFmtId="4" fontId="24" fillId="29" borderId="1" applyAlignment="1" pivotButton="0" quotePrefix="0" xfId="0">
      <alignment horizontal="center" vertical="center" wrapText="1"/>
    </xf>
    <xf numFmtId="0" fontId="4" fillId="29" borderId="1" applyAlignment="1" pivotButton="0" quotePrefix="0" xfId="0">
      <alignment horizontal="right" vertical="center"/>
    </xf>
    <xf numFmtId="4" fontId="33" fillId="29" borderId="1" applyAlignment="1" pivotButton="0" quotePrefix="0" xfId="0">
      <alignment horizontal="center" vertical="center" wrapText="1"/>
    </xf>
    <xf numFmtId="0" fontId="34" fillId="29" borderId="1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center" vertical="center" wrapText="1"/>
    </xf>
    <xf numFmtId="0" fontId="0" fillId="29" borderId="1" pivotButton="0" quotePrefix="0" xfId="0"/>
    <xf numFmtId="0" fontId="3" fillId="45" borderId="1" applyAlignment="1" pivotButton="0" quotePrefix="0" xfId="0">
      <alignment horizontal="center" vertical="center" wrapText="1"/>
    </xf>
    <xf numFmtId="0" fontId="32" fillId="45" borderId="1" applyAlignment="1" pivotButton="0" quotePrefix="0" xfId="0">
      <alignment horizontal="center" vertical="center" wrapText="1"/>
    </xf>
    <xf numFmtId="4" fontId="24" fillId="45" borderId="1" applyAlignment="1" pivotButton="0" quotePrefix="0" xfId="0">
      <alignment horizontal="center" vertical="center" wrapText="1"/>
    </xf>
    <xf numFmtId="0" fontId="4" fillId="45" borderId="1" applyAlignment="1" pivotButton="0" quotePrefix="0" xfId="0">
      <alignment horizontal="right" vertical="center"/>
    </xf>
    <xf numFmtId="4" fontId="33" fillId="45" borderId="1" applyAlignment="1" pivotButton="0" quotePrefix="0" xfId="0">
      <alignment horizontal="center" vertical="center" wrapText="1"/>
    </xf>
    <xf numFmtId="0" fontId="34" fillId="45" borderId="1" applyAlignment="1" pivotButton="0" quotePrefix="0" xfId="0">
      <alignment horizontal="center" vertical="center" wrapText="1"/>
    </xf>
    <xf numFmtId="0" fontId="26" fillId="45" borderId="1" applyAlignment="1" pivotButton="0" quotePrefix="0" xfId="0">
      <alignment horizontal="center" vertical="center" wrapText="1"/>
    </xf>
    <xf numFmtId="0" fontId="0" fillId="45" borderId="1" pivotButton="0" quotePrefix="0" xfId="0"/>
    <xf numFmtId="0" fontId="32" fillId="41" borderId="1" applyAlignment="1" pivotButton="0" quotePrefix="0" xfId="0">
      <alignment horizontal="center" vertical="center" wrapText="1"/>
    </xf>
    <xf numFmtId="0" fontId="4" fillId="41" borderId="1" applyAlignment="1" pivotButton="0" quotePrefix="0" xfId="0">
      <alignment horizontal="right" vertical="center"/>
    </xf>
    <xf numFmtId="4" fontId="33" fillId="41" borderId="1" applyAlignment="1" pivotButton="0" quotePrefix="0" xfId="0">
      <alignment horizontal="center" vertical="center" wrapText="1"/>
    </xf>
    <xf numFmtId="0" fontId="34" fillId="41" borderId="1" applyAlignment="1" pivotButton="0" quotePrefix="0" xfId="0">
      <alignment horizontal="center" vertical="center" wrapText="1"/>
    </xf>
    <xf numFmtId="0" fontId="0" fillId="41" borderId="1" pivotButton="0" quotePrefix="0" xfId="0"/>
    <xf numFmtId="4" fontId="36" fillId="41" borderId="1" applyAlignment="1" pivotButton="0" quotePrefix="0" xfId="0">
      <alignment horizontal="center" vertical="center" wrapText="1"/>
    </xf>
    <xf numFmtId="0" fontId="27" fillId="41" borderId="1" applyAlignment="1" pivotButton="0" quotePrefix="0" xfId="0">
      <alignment horizontal="center" vertical="center" wrapText="1"/>
    </xf>
    <xf numFmtId="0" fontId="32" fillId="12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right" vertical="center"/>
    </xf>
    <xf numFmtId="4" fontId="37" fillId="12" borderId="1" applyAlignment="1" pivotButton="0" quotePrefix="0" xfId="0">
      <alignment horizontal="center" vertical="center" wrapText="1"/>
    </xf>
    <xf numFmtId="0" fontId="34" fillId="12" borderId="1" applyAlignment="1" pivotButton="0" quotePrefix="0" xfId="0">
      <alignment horizontal="center" vertical="center" wrapText="1"/>
    </xf>
    <xf numFmtId="0" fontId="38" fillId="42" borderId="0" applyAlignment="1" pivotButton="0" quotePrefix="0" xfId="0">
      <alignment horizontal="right"/>
    </xf>
    <xf numFmtId="0" fontId="39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right" vertical="center" wrapText="1"/>
    </xf>
    <xf numFmtId="0" fontId="40" fillId="12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 wrapText="1"/>
    </xf>
    <xf numFmtId="0" fontId="26" fillId="1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right" vertical="center" wrapText="1"/>
    </xf>
    <xf numFmtId="0" fontId="40" fillId="17" borderId="1" applyAlignment="1" pivotButton="0" quotePrefix="0" xfId="0">
      <alignment horizontal="center" vertical="center" wrapText="1"/>
    </xf>
    <xf numFmtId="0" fontId="42" fillId="14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right" vertical="center" wrapText="1"/>
    </xf>
    <xf numFmtId="0" fontId="40" fillId="14" borderId="1" applyAlignment="1" pivotButton="0" quotePrefix="0" xfId="0">
      <alignment horizontal="center" vertical="center" wrapText="1"/>
    </xf>
    <xf numFmtId="0" fontId="43" fillId="14" borderId="1" applyAlignment="1" pivotButton="0" quotePrefix="0" xfId="0">
      <alignment horizontal="center" vertical="center" wrapText="1"/>
    </xf>
    <xf numFmtId="0" fontId="25" fillId="14" borderId="1" applyAlignment="1" pivotButton="0" quotePrefix="0" xfId="0">
      <alignment horizontal="center" vertical="center" wrapText="1"/>
    </xf>
    <xf numFmtId="0" fontId="43" fillId="17" borderId="1" applyAlignment="1" pivotButton="0" quotePrefix="0" xfId="0">
      <alignment horizontal="center" vertical="center" wrapText="1"/>
    </xf>
    <xf numFmtId="0" fontId="43" fillId="12" borderId="1" applyAlignment="1" pivotButton="0" quotePrefix="0" xfId="0">
      <alignment horizontal="center" vertical="center" wrapText="1"/>
    </xf>
    <xf numFmtId="0" fontId="27" fillId="12" borderId="1" applyAlignment="1" pivotButton="0" quotePrefix="0" xfId="0">
      <alignment horizontal="center" vertical="center" wrapText="1"/>
    </xf>
    <xf numFmtId="0" fontId="7" fillId="46" borderId="1" applyAlignment="1" pivotButton="0" quotePrefix="0" xfId="0">
      <alignment horizontal="center" vertical="center" wrapText="1"/>
    </xf>
    <xf numFmtId="0" fontId="42" fillId="46" borderId="1" applyAlignment="1" pivotButton="0" quotePrefix="0" xfId="0">
      <alignment horizontal="center" vertical="center" wrapText="1"/>
    </xf>
    <xf numFmtId="0" fontId="25" fillId="46" borderId="1" applyAlignment="1" pivotButton="0" quotePrefix="0" xfId="0">
      <alignment horizontal="center" vertical="center" wrapText="1"/>
    </xf>
    <xf numFmtId="0" fontId="8" fillId="46" borderId="1" applyAlignment="1" pivotButton="0" quotePrefix="0" xfId="0">
      <alignment horizontal="center" vertical="center" wrapText="1"/>
    </xf>
    <xf numFmtId="0" fontId="12" fillId="46" borderId="1" applyAlignment="1" pivotButton="0" quotePrefix="0" xfId="0">
      <alignment horizontal="right" vertical="center" wrapText="1"/>
    </xf>
    <xf numFmtId="0" fontId="44" fillId="46" borderId="1" applyAlignment="1" pivotButton="0" quotePrefix="0" xfId="0">
      <alignment horizontal="center" vertical="center" wrapText="1"/>
    </xf>
    <xf numFmtId="0" fontId="7" fillId="47" borderId="1" applyAlignment="1" pivotButton="0" quotePrefix="0" xfId="0">
      <alignment horizontal="center" vertical="center" wrapText="1"/>
    </xf>
    <xf numFmtId="0" fontId="45" fillId="47" borderId="1" applyAlignment="1" pivotButton="0" quotePrefix="0" xfId="0">
      <alignment horizontal="center" vertical="center" wrapText="1"/>
    </xf>
    <xf numFmtId="0" fontId="26" fillId="47" borderId="1" applyAlignment="1" pivotButton="0" quotePrefix="0" xfId="0">
      <alignment horizontal="center" vertical="center" wrapText="1"/>
    </xf>
    <xf numFmtId="0" fontId="8" fillId="47" borderId="1" applyAlignment="1" pivotButton="0" quotePrefix="0" xfId="0">
      <alignment horizontal="center" vertical="center" wrapText="1"/>
    </xf>
    <xf numFmtId="0" fontId="12" fillId="47" borderId="1" applyAlignment="1" pivotButton="0" quotePrefix="0" xfId="0">
      <alignment horizontal="right" vertical="center" wrapText="1"/>
    </xf>
    <xf numFmtId="0" fontId="43" fillId="47" borderId="1" applyAlignment="1" pivotButton="0" quotePrefix="0" xfId="0">
      <alignment horizontal="center" vertical="center" wrapText="1"/>
    </xf>
    <xf numFmtId="0" fontId="46" fillId="48" borderId="4" applyAlignment="1" pivotButton="0" quotePrefix="0" xfId="0">
      <alignment horizontal="right" vertical="top" wrapText="1"/>
    </xf>
    <xf numFmtId="0" fontId="10" fillId="3" borderId="0" applyAlignment="1" pivotButton="0" quotePrefix="0" xfId="0">
      <alignment horizontal="center" vertical="center" wrapText="1"/>
    </xf>
    <xf numFmtId="0" fontId="7" fillId="49" borderId="3" applyAlignment="1" pivotButton="0" quotePrefix="0" xfId="0">
      <alignment horizontal="left" vertical="center" wrapText="1"/>
    </xf>
    <xf numFmtId="0" fontId="8" fillId="49" borderId="3" applyAlignment="1" pivotButton="0" quotePrefix="0" xfId="0">
      <alignment horizontal="center" vertical="center" wrapText="1"/>
    </xf>
    <xf numFmtId="0" fontId="7" fillId="30" borderId="3" applyAlignment="1" pivotButton="0" quotePrefix="0" xfId="0">
      <alignment horizontal="left" vertical="center" wrapText="1"/>
    </xf>
    <xf numFmtId="0" fontId="8" fillId="30" borderId="3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20" fillId="0" borderId="3" applyAlignment="1" pivotButton="0" quotePrefix="0" xfId="0">
      <alignment horizontal="left" vertical="center" wrapText="1"/>
    </xf>
    <xf numFmtId="3" fontId="15" fillId="0" borderId="3" applyAlignment="1" pivotButton="0" quotePrefix="0" xfId="0">
      <alignment horizontal="center" vertical="center" wrapText="1"/>
    </xf>
    <xf numFmtId="0" fontId="47" fillId="48" borderId="0" applyAlignment="1" pivotButton="0" quotePrefix="0" xfId="0">
      <alignment horizontal="right" wrapText="1"/>
    </xf>
    <xf numFmtId="0" fontId="22" fillId="50" borderId="0" applyAlignment="1" pivotButton="0" quotePrefix="0" xfId="0">
      <alignment horizontal="right" wrapText="1"/>
    </xf>
    <xf numFmtId="0" fontId="9" fillId="20" borderId="0" applyAlignment="1" pivotButton="0" quotePrefix="0" xfId="0">
      <alignment horizontal="right" wrapText="1"/>
    </xf>
    <xf numFmtId="3" fontId="22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8" customWidth="1" min="3" max="3"/>
    <col width="34" customWidth="1" min="4" max="4"/>
    <col width="36" customWidth="1" min="5" max="5"/>
    <col width="28" customWidth="1" min="6" max="6"/>
    <col width="36" customWidth="1" min="7" max="7"/>
  </cols>
  <sheetData>
    <row r="1" ht="32" customHeight="1">
      <c r="A1" s="1" t="inlineStr">
        <is>
          <t>دليل أدوات التقييم — ما تقيسه كل أداة، الصيغة، وأنسب الشركات لها</t>
        </is>
      </c>
    </row>
    <row r="2" ht="30" customHeight="1">
      <c r="A2" s="2" t="inlineStr">
        <is>
          <t>الأداة</t>
        </is>
      </c>
      <c r="B2" s="2" t="inlineStr">
        <is>
          <t>الصيغة</t>
        </is>
      </c>
      <c r="C2" s="2" t="inlineStr">
        <is>
          <t>ما تقيسه</t>
        </is>
      </c>
      <c r="D2" s="2" t="inlineStr">
        <is>
          <t>الأنسب لنوع الشركات</t>
        </is>
      </c>
      <c r="E2" s="2" t="inlineStr">
        <is>
          <t>المحدودية</t>
        </is>
      </c>
      <c r="F2" s="2" t="inlineStr">
        <is>
          <t>Benchmark السعودي</t>
        </is>
      </c>
      <c r="G2" s="2" t="inlineStr">
        <is>
          <t>الشركات المُستخدمة معها</t>
        </is>
      </c>
    </row>
    <row r="3" ht="58" customHeight="1">
      <c r="A3" s="3" t="inlineStr">
        <is>
          <t>P/E — نسبة السعر إلى الأرباح</t>
        </is>
      </c>
      <c r="B3" s="4" t="inlineStr">
        <is>
          <t>سعر السهم ÷ ربح السهم (EPS)</t>
        </is>
      </c>
      <c r="C3" s="4" t="inlineStr">
        <is>
          <t>كم يدفع المستثمر مقابل كل ريال من الأرباح — مقياس الغلاء/الرخص النسبي</t>
        </is>
      </c>
      <c r="D3" s="4" t="inlineStr">
        <is>
          <t>✅ شركات ناضجة ذات أرباح مستقرة وقابلة للتنبؤ</t>
        </is>
      </c>
      <c r="E3" s="4" t="inlineStr">
        <is>
          <t>❌ لا يعمل مع الخسائر | يتأثر بالبنود غير المتكررة | يتجاهل هيكل رأس المال</t>
        </is>
      </c>
      <c r="F3" s="4" t="inlineStr">
        <is>
          <t>TASI: متوسط 15-18x | بنوك: 12-16x | تجزئة: 14-20x</t>
        </is>
      </c>
      <c r="G3" s="4" t="inlineStr">
        <is>
          <t>الراجحي، الإنماء، المواساة، بدجت، اكسترا</t>
        </is>
      </c>
    </row>
    <row r="4" ht="58" customHeight="1">
      <c r="A4" s="5" t="inlineStr">
        <is>
          <t>P/B — السعر إلى القيمة الدفترية</t>
        </is>
      </c>
      <c r="B4" s="6" t="inlineStr">
        <is>
          <t>سعر السهم ÷ (حقوق الملكية ÷ عدد الأسهم)</t>
        </is>
      </c>
      <c r="C4" s="6" t="inlineStr">
        <is>
          <t>هل يدفع السوق علاوة على صافي أصول الشركة؟ — مقارنة بالقيمة المحاسبية</t>
        </is>
      </c>
      <c r="D4" s="6" t="inlineStr">
        <is>
          <t>✅ البنوك والشركات المالية والعقارية حيث الأصول الملموسة هي المحرك</t>
        </is>
      </c>
      <c r="E4" s="6" t="inlineStr">
        <is>
          <t>❌ يتجاهل الأصول غير الملموسة (العلامة التجارية) | يُضلل في الصناعات كثيفة المعرفة</t>
        </is>
      </c>
      <c r="F4" s="6" t="inlineStr">
        <is>
          <t>بنوك سعودية: 2-4x | REITs: 0.9-1.2x | صناعة: 1.5-3x</t>
        </is>
      </c>
      <c r="G4" s="6" t="inlineStr">
        <is>
          <t>الراجحي، الإنماء، بنيان ريت، المتقدمة</t>
        </is>
      </c>
    </row>
    <row r="5" ht="58" customHeight="1">
      <c r="A5" s="7" t="inlineStr">
        <is>
          <t>DDM — نموذج خصم التوزيعات (Gordon Growth)</t>
        </is>
      </c>
      <c r="B5" s="8" t="inlineStr">
        <is>
          <t>DPS₁ ÷ (WACC − g)  حيث g = معدل نمو التوزيعات</t>
        </is>
      </c>
      <c r="C5" s="8" t="inlineStr">
        <is>
          <t>القيمة الحالية لتيار التوزيعات المستقبلي — يعكس القيمة للمستثمر الباحث عن الدخل</t>
        </is>
      </c>
      <c r="D5" s="8" t="inlineStr">
        <is>
          <t>✅ شركات ذات سياسة توزيع ثابتة ومستدامة وأرباح مستقرة</t>
        </is>
      </c>
      <c r="E5" s="8" t="inlineStr">
        <is>
          <t>❌ لا ينطبق على الشركات غير الموزعة | حساس جداً لافتراض g | يهمل الاحتفاظ بالأرباح</t>
        </is>
      </c>
      <c r="F5" s="8" t="inlineStr">
        <is>
          <t>WACC: 9-11% | g: 3-5% | تعطي قيمة أعلى مع خفض الفائدة</t>
        </is>
      </c>
      <c r="G5" s="8" t="inlineStr">
        <is>
          <t>الراجحي، الإنماء، المواساة، اكسترا، بنيان ريت</t>
        </is>
      </c>
    </row>
    <row r="6" ht="58" customHeight="1">
      <c r="A6" s="9" t="inlineStr">
        <is>
          <t>DCF — خصم التدفقات النقدية الحرة</t>
        </is>
      </c>
      <c r="B6" s="10" t="inlineStr">
        <is>
          <t>Σ [FCF_t/(1+WACC)^t] + Terminal Value/(1+WACC)^n
FCF = التدفق التشغيلي × (1 − معدل الاستثمار)</t>
        </is>
      </c>
      <c r="C6" s="10" t="inlineStr">
        <is>
          <t>القيمة الجوهرية المطلقة بناءً على التدفقات النقدية الفعلية المتوقعة — الأشمل نظرياً</t>
        </is>
      </c>
      <c r="D6" s="10" t="inlineStr">
        <is>
          <t>✅ جميع الشركات المولدة للتدفقات | الأمثل للشركات ذات النمو العالي</t>
        </is>
      </c>
      <c r="E6" s="10" t="inlineStr">
        <is>
          <t>❌ حساس جداً للافتراضات (WACC، g، CAPEX) | لا يصلح للخسائر | أرقامه أقل موثوقية للمبتدئين</t>
        </is>
      </c>
      <c r="F6" s="10" t="inlineStr">
        <is>
          <t>WACC: بنوك 10.5% | اتصالات 9.5% | تجزئة 11.5% | بتروكيماويات 13% | g طويل: 3%</t>
        </is>
      </c>
      <c r="G6" s="10" t="inlineStr">
        <is>
          <t>STC، سال، المواساة، بدجت، اكسترا، بنيان ريت (FFO-based)</t>
        </is>
      </c>
    </row>
    <row r="7" ht="58" customHeight="1">
      <c r="A7" s="11" t="inlineStr">
        <is>
          <t>EV/EBITDA — قيمة المنشأة إلى EBITDA</t>
        </is>
      </c>
      <c r="B7" s="12" t="inlineStr">
        <is>
          <t>EV ÷ EBITDA  حيث EV = القيمة السوقية + الديون − النقد
EBITDA = أرباح قبل الفوائد والضرائب والاستهلاك</t>
        </is>
      </c>
      <c r="C7" s="12" t="inlineStr">
        <is>
          <t>التقييم مستقلاً عن هيكل رأس المال والسياسة الضريبية والاستهلاك — مقارنة دولية</t>
        </is>
      </c>
      <c r="D7" s="12" t="inlineStr">
        <is>
          <t>✅ شركات التشغيل بديون عالية (تأجير، اتصالات) | المقارنات القطاعية الدولية</t>
        </is>
      </c>
      <c r="E7" s="12" t="inlineStr">
        <is>
          <t>❌ لا يصلح للبنوك | يتطلب بيانات تفصيلية عن الديون | يهمل فرص النمو</t>
        </is>
      </c>
      <c r="F7" s="12" t="inlineStr">
        <is>
          <t>اتصالات: 7-10x | لوجستيات: 10-14x | رعاية صحية: 12-16x | تجزئة: 8-12x</t>
        </is>
      </c>
      <c r="G7" s="12" t="inlineStr">
        <is>
          <t>STC، سال، المواساة، بدجت، اكسترا، المتقدمة</t>
        </is>
      </c>
    </row>
    <row r="8" ht="58" customHeight="1">
      <c r="A8" s="13" t="inlineStr">
        <is>
          <t>PEG — نسبة النمو إلى P/E</t>
        </is>
      </c>
      <c r="B8" s="14" t="inlineStr">
        <is>
          <t>P/E ÷ معدل نمو EPS السنوي (%)
مثال: P/E=15 ونمو=20% → PEG=0.75</t>
        </is>
      </c>
      <c r="C8" s="14" t="inlineStr">
        <is>
          <t>هل P/E المرتفع مبرر بمعدل النمو؟ — يُعادل قيمة الشركات بمختلف مستويات النمو</t>
        </is>
      </c>
      <c r="D8" s="14" t="inlineStr">
        <is>
          <t>✅ شركات النمو العالي | مقارنة شركتين بـP/E مختلف | تقييم الجزء النمو في المحفظة</t>
        </is>
      </c>
      <c r="E8" s="14" t="inlineStr">
        <is>
          <t>❌ يعتمد على دقة تقديرات النمو | لا يصلح مع الخسائر | يُضلل مع النمو المؤقت</t>
        </is>
      </c>
      <c r="F8" s="14" t="inlineStr">
        <is>
          <t>PEG &lt; 1x = جذاب جداً | 1-1.5x = معقول | &gt; 2x = مكلف | &lt; 0.5x = فرصة نادرة</t>
        </is>
      </c>
      <c r="G8" s="14" t="inlineStr">
        <is>
          <t>الإنماء، سال، المواساة، بدجت، اكسترا</t>
        </is>
      </c>
    </row>
    <row r="9" ht="58" customHeight="1">
      <c r="A9" s="15" t="inlineStr">
        <is>
          <t>P/S — السعر إلى الإيرادات</t>
        </is>
      </c>
      <c r="B9" s="16" t="inlineStr">
        <is>
          <t>القيمة السوقية الكلية ÷ إجمالي الإيرادات السنوية</t>
        </is>
      </c>
      <c r="C9" s="16" t="inlineStr">
        <is>
          <t>مضاعف المبيعات — مفيد عند غياب الأرباح أو تشويهها ببنود استثنائية</t>
        </is>
      </c>
      <c r="D9" s="16" t="inlineStr">
        <is>
          <t>✅ شركات النمو في مرحلة مبكرة | شركات ذات أرباح متقلبة | مقارنة قطاع التجزئة</t>
        </is>
      </c>
      <c r="E9" s="16" t="inlineStr">
        <is>
          <t>❌ يتجاهل كلياً الربحية والهامش | شركة بمبيعات عالية وخسائر تبدو رخيصة زيفاً</t>
        </is>
      </c>
      <c r="F9" s="16" t="inlineStr">
        <is>
          <t>تجزئة إلكترونيات: 0.5-2x | رعاية صحية: 2-5x | اتصالات: 1-3x | لوجستيات: 3-8x</t>
        </is>
      </c>
      <c r="G9" s="16" t="inlineStr">
        <is>
          <t>اكسترا، سال، المتقدمة (خسائر P/E)</t>
        </is>
      </c>
    </row>
    <row r="10" ht="58" customHeight="1">
      <c r="A10" s="17" t="inlineStr">
        <is>
          <t>P/FFO — السعر إلى تدفق العمليات (REITs فقط)</t>
        </is>
      </c>
      <c r="B10" s="18" t="inlineStr">
        <is>
          <t>سعر الوحدة ÷ FFO للوحدة
FFO = صافي الدخل + الاستهلاك − مكاسب بيع الأصول</t>
        </is>
      </c>
      <c r="C10" s="18" t="inlineStr">
        <is>
          <t>الأداة الصحيحة لتقييم REITs — يستبعد الاستهلاك الذي يُضخم الخسارة المحاسبية للعقارات</t>
        </is>
      </c>
      <c r="D10" s="18" t="inlineStr">
        <is>
          <t>✅ صناديق الاستثمار العقاري (REITs) حصراً | يعكس القدرة الفعلية على التوزيع</t>
        </is>
      </c>
      <c r="E10" s="18" t="inlineStr">
        <is>
          <t>❌ لا ينطبق على غير REITs | يتفاوت تعريف FFO بين الشركات</t>
        </is>
      </c>
      <c r="F10" s="18" t="inlineStr">
        <is>
          <t>REITs السعودية: 12-18x | REITs الأمريكية: 15-22x | عائد توزيع ≥ 5%</t>
        </is>
      </c>
      <c r="G10" s="18" t="inlineStr">
        <is>
          <t>بنيان ريت (4340) حصراً</t>
        </is>
      </c>
    </row>
    <row r="11" ht="36" customHeight="1">
      <c r="A11" s="19" t="inlineStr">
        <is>
          <t>⚖ مبدأ التقييم: لا توجد أداة مثالية واحدة. الجمع بين 3+ طرق يُعطي نطاقاً للقيمة العادلة أكثر موثوقية. | عندما تتقارب 3 طرق مختلفة على نفس المستوى السعري — تكون الثقة عالية في ذلك التقدير.</t>
        </is>
      </c>
    </row>
  </sheetData>
  <mergeCells count="2">
    <mergeCell ref="A11:G1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3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7" customWidth="1" min="2" max="2"/>
    <col width="12" customWidth="1" min="3" max="3"/>
    <col width="12" customWidth="1" min="4" max="4"/>
    <col width="9" customWidth="1" min="5" max="5"/>
    <col width="9" customWidth="1" min="6" max="6"/>
    <col width="12" customWidth="1" min="7" max="7"/>
    <col width="14" customWidth="1" min="8" max="8"/>
    <col width="10" customWidth="1" min="9" max="9"/>
    <col width="9" customWidth="1" min="10" max="10"/>
    <col width="9" customWidth="1" min="11" max="11"/>
    <col width="9" customWidth="1" min="12" max="12"/>
    <col width="8" customWidth="1" min="13" max="13"/>
    <col width="10" customWidth="1" min="14" max="14"/>
    <col width="11" customWidth="1" min="15" max="15"/>
    <col width="22" customWidth="1" min="16" max="16"/>
  </cols>
  <sheetData>
    <row r="1" ht="30" customHeight="1">
      <c r="A1" s="20" t="inlineStr">
        <is>
          <t>دراسة استثمارية - المحفظة السعودية  |  مصدر البيانات: تداول · أرقام · مباشر  |  مايو 2026</t>
        </is>
      </c>
    </row>
    <row r="2">
      <c r="A2" s="21" t="inlineStr">
        <is>
          <t>التصنيف: 🟢 Value = قيمة   🔵 Growth = نمو   🟡 Blend = مزيج      ⚠ = ملاحظة تحقق   |   الأعمدة J-O تحتوي صيغ Excel حية</t>
        </is>
      </c>
    </row>
    <row r="3" ht="38" customHeight="1">
      <c r="A3" s="22" t="inlineStr">
        <is>
          <t>الشركة</t>
        </is>
      </c>
      <c r="B3" s="22" t="inlineStr">
        <is>
          <t>الرمز</t>
        </is>
      </c>
      <c r="C3" s="22" t="inlineStr">
        <is>
          <t>القطاع</t>
        </is>
      </c>
      <c r="D3" s="22" t="inlineStr">
        <is>
          <t>التصنيف</t>
        </is>
      </c>
      <c r="E3" s="22" t="inlineStr">
        <is>
          <t>السعر
(ريال)</t>
        </is>
      </c>
      <c r="F3" s="22" t="inlineStr">
        <is>
          <t>الأسهم
(م.)</t>
        </is>
      </c>
      <c r="G3" s="22" t="inlineStr">
        <is>
          <t>ربح 2024
(م.)</t>
        </is>
      </c>
      <c r="H3" s="22" t="inlineStr">
        <is>
          <t>حقوق الملكية
(م.)</t>
        </is>
      </c>
      <c r="I3" s="22" t="inlineStr">
        <is>
          <t>DPS
2024</t>
        </is>
      </c>
      <c r="J3" s="22" t="inlineStr">
        <is>
          <t>EPS
2024</t>
        </is>
      </c>
      <c r="K3" s="22" t="inlineStr">
        <is>
          <t>م.ربحية
(P/E)</t>
        </is>
      </c>
      <c r="L3" s="22" t="inlineStr">
        <is>
          <t>م.دفتري
(P/B)</t>
        </is>
      </c>
      <c r="M3" s="22" t="inlineStr">
        <is>
          <t>ROE%</t>
        </is>
      </c>
      <c r="N3" s="22" t="inlineStr">
        <is>
          <t>عائد توزيع%</t>
        </is>
      </c>
      <c r="O3" s="22" t="inlineStr">
        <is>
          <t>نسبة التوزيع%</t>
        </is>
      </c>
      <c r="P3" s="22" t="inlineStr">
        <is>
          <t>التوصية</t>
        </is>
      </c>
    </row>
    <row r="4" ht="22" customHeight="1">
      <c r="A4" s="23" t="inlineStr">
        <is>
          <t>الراجحي</t>
        </is>
      </c>
      <c r="B4" s="24" t="inlineStr">
        <is>
          <t>1120</t>
        </is>
      </c>
      <c r="C4" s="24" t="inlineStr">
        <is>
          <t>مصرفي</t>
        </is>
      </c>
      <c r="D4" s="24" t="inlineStr">
        <is>
          <t>🟡 Blend</t>
        </is>
      </c>
      <c r="E4" s="25" t="n">
        <v>69.34999999999999</v>
      </c>
      <c r="F4" s="26" t="n">
        <v>6000</v>
      </c>
      <c r="G4" s="26" t="n">
        <v>19722</v>
      </c>
      <c r="H4" s="26" t="n">
        <v>100185</v>
      </c>
      <c r="I4" s="25" t="n">
        <v>2.71</v>
      </c>
      <c r="J4" s="25">
        <f>IFERROR(G4/F4,0)</f>
        <v/>
      </c>
      <c r="K4" s="27">
        <f>IFERROR(E4/J4,"N/A")</f>
        <v/>
      </c>
      <c r="L4" s="28">
        <f>IFERROR(E4*F4/H4,"N/A")</f>
        <v/>
      </c>
      <c r="M4" s="27">
        <f>IFERROR(G4/H4*100,"N/A")</f>
        <v/>
      </c>
      <c r="N4" s="27">
        <f>IFERROR(I4/E4*100,0)</f>
        <v/>
      </c>
      <c r="O4" s="27">
        <f>IFERROR(I4/J4*100,"N/A")</f>
        <v/>
      </c>
      <c r="P4" s="29" t="inlineStr">
        <is>
          <t>تراكم</t>
        </is>
      </c>
    </row>
    <row r="5" ht="22" customHeight="1">
      <c r="A5" s="30" t="inlineStr">
        <is>
          <t>الإنماء</t>
        </is>
      </c>
      <c r="B5" s="31" t="inlineStr">
        <is>
          <t>1150</t>
        </is>
      </c>
      <c r="C5" s="31" t="inlineStr">
        <is>
          <t>مصرفي</t>
        </is>
      </c>
      <c r="D5" s="31" t="inlineStr">
        <is>
          <t>🔵 Growth</t>
        </is>
      </c>
      <c r="E5" s="32" t="n">
        <v>23.86</v>
      </c>
      <c r="F5" s="33" t="n">
        <v>1992</v>
      </c>
      <c r="G5" s="33" t="n">
        <v>5832</v>
      </c>
      <c r="H5" s="33" t="n">
        <v>29500</v>
      </c>
      <c r="I5" s="32" t="n">
        <v>1.1</v>
      </c>
      <c r="J5" s="32">
        <f>IFERROR(G5/F5,0)</f>
        <v/>
      </c>
      <c r="K5" s="34">
        <f>IFERROR(E5/J5,"N/A")</f>
        <v/>
      </c>
      <c r="L5" s="35">
        <f>IFERROR(E5*F5/H5,"N/A")</f>
        <v/>
      </c>
      <c r="M5" s="34">
        <f>IFERROR(G5/H5*100,"N/A")</f>
        <v/>
      </c>
      <c r="N5" s="34">
        <f>IFERROR(I5/E5*100,0)</f>
        <v/>
      </c>
      <c r="O5" s="34">
        <f>IFERROR(I5/J5*100,"N/A")</f>
        <v/>
      </c>
      <c r="P5" s="29" t="inlineStr">
        <is>
          <t>تراكم</t>
        </is>
      </c>
    </row>
    <row r="6" ht="22" customHeight="1">
      <c r="A6" s="23" t="inlineStr">
        <is>
          <t>STC</t>
        </is>
      </c>
      <c r="B6" s="24" t="inlineStr">
        <is>
          <t>7010</t>
        </is>
      </c>
      <c r="C6" s="24" t="inlineStr">
        <is>
          <t>اتصالات</t>
        </is>
      </c>
      <c r="D6" s="24" t="inlineStr">
        <is>
          <t>🟡 Blend</t>
        </is>
      </c>
      <c r="E6" s="25" t="n">
        <v>43.54</v>
      </c>
      <c r="F6" s="26" t="n">
        <v>5000</v>
      </c>
      <c r="G6" s="26" t="n">
        <v>24689</v>
      </c>
      <c r="H6" s="26" t="n">
        <v>55000</v>
      </c>
      <c r="I6" s="25" t="n">
        <v>3.75</v>
      </c>
      <c r="J6" s="25">
        <f>IFERROR(G6/F6,0)</f>
        <v/>
      </c>
      <c r="K6" s="27">
        <f>IFERROR(E6/J6,"N/A")</f>
        <v/>
      </c>
      <c r="L6" s="28">
        <f>IFERROR(E6*F6/H6,"N/A")</f>
        <v/>
      </c>
      <c r="M6" s="27">
        <f>IFERROR(G6/H6*100,"N/A")</f>
        <v/>
      </c>
      <c r="N6" s="27">
        <f>IFERROR(I6/E6*100,0)</f>
        <v/>
      </c>
      <c r="O6" s="27">
        <f>IFERROR(I6/J6*100,"N/A")</f>
        <v/>
      </c>
      <c r="P6" s="36" t="inlineStr">
        <is>
          <t>تراكم بقوة</t>
        </is>
      </c>
    </row>
    <row r="7" ht="22" customHeight="1">
      <c r="A7" s="30" t="inlineStr">
        <is>
          <t>سال</t>
        </is>
      </c>
      <c r="B7" s="31" t="inlineStr">
        <is>
          <t>4263</t>
        </is>
      </c>
      <c r="C7" s="31" t="inlineStr">
        <is>
          <t>لوجستيات</t>
        </is>
      </c>
      <c r="D7" s="31" t="inlineStr">
        <is>
          <t>🔵 Growth</t>
        </is>
      </c>
      <c r="E7" s="32" t="n">
        <v>168</v>
      </c>
      <c r="F7" s="33" t="n">
        <v>80</v>
      </c>
      <c r="G7" s="33" t="n">
        <v>661</v>
      </c>
      <c r="H7" s="33" t="n">
        <v>2300</v>
      </c>
      <c r="I7" s="32" t="n">
        <v>1.33</v>
      </c>
      <c r="J7" s="32">
        <f>IFERROR(G7/F7,0)</f>
        <v/>
      </c>
      <c r="K7" s="34">
        <f>IFERROR(E7/J7,"N/A")</f>
        <v/>
      </c>
      <c r="L7" s="35">
        <f>IFERROR(E7*F7/H7,"N/A")</f>
        <v/>
      </c>
      <c r="M7" s="34">
        <f>IFERROR(G7/H7*100,"N/A")</f>
        <v/>
      </c>
      <c r="N7" s="34">
        <f>IFERROR(I7/E7*100,0)</f>
        <v/>
      </c>
      <c r="O7" s="34">
        <f>IFERROR(I7/J7*100,"N/A")</f>
        <v/>
      </c>
      <c r="P7" s="37" t="inlineStr">
        <is>
          <t>مراقبة / تراكم تدريجي</t>
        </is>
      </c>
    </row>
    <row r="8" ht="22" customHeight="1">
      <c r="A8" s="38" t="inlineStr">
        <is>
          <t>المواساة</t>
        </is>
      </c>
      <c r="B8" s="39" t="inlineStr">
        <is>
          <t>4002</t>
        </is>
      </c>
      <c r="C8" s="39" t="inlineStr">
        <is>
          <t>رعاية صحية</t>
        </is>
      </c>
      <c r="D8" s="39" t="inlineStr">
        <is>
          <t>🟢 Value</t>
        </is>
      </c>
      <c r="E8" s="40" t="n">
        <v>59.1</v>
      </c>
      <c r="F8" s="41" t="n">
        <v>200</v>
      </c>
      <c r="G8" s="41" t="n">
        <v>646</v>
      </c>
      <c r="H8" s="41" t="n">
        <v>4000</v>
      </c>
      <c r="I8" s="40" t="n">
        <v>2</v>
      </c>
      <c r="J8" s="40">
        <f>IFERROR(G8/F8,0)</f>
        <v/>
      </c>
      <c r="K8" s="42">
        <f>IFERROR(E8/J8,"N/A")</f>
        <v/>
      </c>
      <c r="L8" s="43">
        <f>IFERROR(E8*F8/H8,"N/A")</f>
        <v/>
      </c>
      <c r="M8" s="42">
        <f>IFERROR(G8/H8*100,"N/A")</f>
        <v/>
      </c>
      <c r="N8" s="42">
        <f>IFERROR(I8/E8*100,0)</f>
        <v/>
      </c>
      <c r="O8" s="42">
        <f>IFERROR(I8/J8*100,"N/A")</f>
        <v/>
      </c>
      <c r="P8" s="44" t="inlineStr">
        <is>
          <t>احتفاظ / تراكم عند الضعف</t>
        </is>
      </c>
    </row>
    <row r="9" ht="22" customHeight="1">
      <c r="A9" s="30" t="inlineStr">
        <is>
          <t>بدجت</t>
        </is>
      </c>
      <c r="B9" s="31" t="inlineStr">
        <is>
          <t>4260</t>
        </is>
      </c>
      <c r="C9" s="31" t="inlineStr">
        <is>
          <t>خدمات استهلاكية</t>
        </is>
      </c>
      <c r="D9" s="31" t="inlineStr">
        <is>
          <t>🔵 Growth</t>
        </is>
      </c>
      <c r="E9" s="32" t="n">
        <v>75.90000000000001</v>
      </c>
      <c r="F9" s="33" t="n">
        <v>100</v>
      </c>
      <c r="G9" s="33" t="n">
        <v>312</v>
      </c>
      <c r="H9" s="33" t="n">
        <v>1903</v>
      </c>
      <c r="I9" s="32" t="n">
        <v>1.45</v>
      </c>
      <c r="J9" s="32">
        <f>IFERROR(G9/F9,0)</f>
        <v/>
      </c>
      <c r="K9" s="34">
        <f>IFERROR(E9/J9,"N/A")</f>
        <v/>
      </c>
      <c r="L9" s="35">
        <f>IFERROR(E9*F9/H9,"N/A")</f>
        <v/>
      </c>
      <c r="M9" s="34">
        <f>IFERROR(G9/H9*100,"N/A")</f>
        <v/>
      </c>
      <c r="N9" s="34">
        <f>IFERROR(I9/E9*100,0)</f>
        <v/>
      </c>
      <c r="O9" s="34">
        <f>IFERROR(I9/J9*100,"N/A")</f>
        <v/>
      </c>
      <c r="P9" s="45" t="inlineStr">
        <is>
          <t>مراقبة - انتظار توضيح Q1 2026</t>
        </is>
      </c>
    </row>
    <row r="10" ht="22" customHeight="1">
      <c r="A10" s="38" t="inlineStr">
        <is>
          <t>اكسترا</t>
        </is>
      </c>
      <c r="B10" s="39" t="inlineStr">
        <is>
          <t>4003</t>
        </is>
      </c>
      <c r="C10" s="39" t="inlineStr">
        <is>
          <t>تجزئة</t>
        </is>
      </c>
      <c r="D10" s="39" t="inlineStr">
        <is>
          <t>🟢 Value</t>
        </is>
      </c>
      <c r="E10" s="40" t="n">
        <v>81.90000000000001</v>
      </c>
      <c r="F10" s="41" t="n">
        <v>80</v>
      </c>
      <c r="G10" s="41" t="n">
        <v>534</v>
      </c>
      <c r="H10" s="41" t="n">
        <v>1900</v>
      </c>
      <c r="I10" s="40" t="n">
        <v>10</v>
      </c>
      <c r="J10" s="40">
        <f>IFERROR(G10/F10,0)</f>
        <v/>
      </c>
      <c r="K10" s="42">
        <f>IFERROR(E10/J10,"N/A")</f>
        <v/>
      </c>
      <c r="L10" s="43">
        <f>IFERROR(E10*F10/H10,"N/A")</f>
        <v/>
      </c>
      <c r="M10" s="42">
        <f>IFERROR(G10/H10*100,"N/A")</f>
        <v/>
      </c>
      <c r="N10" s="42">
        <f>IFERROR(I10/E10*100,0)</f>
        <v/>
      </c>
      <c r="O10" s="42">
        <f>IFERROR(I10/J10*100,"N/A")</f>
        <v/>
      </c>
      <c r="P10" s="29" t="inlineStr">
        <is>
          <t>تراكم</t>
        </is>
      </c>
    </row>
    <row r="11" ht="22" customHeight="1">
      <c r="A11" s="23" t="inlineStr">
        <is>
          <t>المتقدمة</t>
        </is>
      </c>
      <c r="B11" s="24" t="inlineStr">
        <is>
          <t>2330</t>
        </is>
      </c>
      <c r="C11" s="24" t="inlineStr">
        <is>
          <t>بتروكيماويات</t>
        </is>
      </c>
      <c r="D11" s="24" t="inlineStr">
        <is>
          <t>🟡 Blend</t>
        </is>
      </c>
      <c r="E11" s="25" t="n">
        <v>34.12</v>
      </c>
      <c r="F11" s="26" t="n">
        <v>125</v>
      </c>
      <c r="G11" s="26" t="n">
        <v>-259</v>
      </c>
      <c r="H11" s="26" t="n">
        <v>2000</v>
      </c>
      <c r="I11" s="25" t="n">
        <v>0</v>
      </c>
      <c r="J11" s="25">
        <f>IFERROR(G11/F11,0)</f>
        <v/>
      </c>
      <c r="K11" s="27">
        <f>IFERROR(E11/J11,"N/A")</f>
        <v/>
      </c>
      <c r="L11" s="28">
        <f>IFERROR(E11*F11/H11,"N/A")</f>
        <v/>
      </c>
      <c r="M11" s="27">
        <f>IFERROR(G11/H11*100,"N/A")</f>
        <v/>
      </c>
      <c r="N11" s="27">
        <f>IFERROR(I11/E11*100,0)</f>
        <v/>
      </c>
      <c r="O11" s="27">
        <f>IFERROR(I11/J11*100,"N/A")</f>
        <v/>
      </c>
      <c r="P11" s="45" t="inlineStr">
        <is>
          <t>مضاربة / وزن محدود</t>
        </is>
      </c>
    </row>
    <row r="12" ht="22" customHeight="1">
      <c r="A12" s="38" t="inlineStr">
        <is>
          <t>بنيان ريت</t>
        </is>
      </c>
      <c r="B12" s="39" t="inlineStr">
        <is>
          <t>4340</t>
        </is>
      </c>
      <c r="C12" s="39" t="inlineStr">
        <is>
          <t>صندوق عقاري (REIT)</t>
        </is>
      </c>
      <c r="D12" s="39" t="inlineStr">
        <is>
          <t>🟢 Value</t>
        </is>
      </c>
      <c r="E12" s="40" t="n">
        <v>9.25</v>
      </c>
      <c r="F12" s="41" t="n">
        <v>163</v>
      </c>
      <c r="G12" s="41" t="n">
        <v>118</v>
      </c>
      <c r="H12" s="41" t="n">
        <v>1610</v>
      </c>
      <c r="I12" s="40" t="n">
        <v>0.71</v>
      </c>
      <c r="J12" s="40">
        <f>IFERROR(G12/F12,0)</f>
        <v/>
      </c>
      <c r="K12" s="42">
        <f>IFERROR(E12/J12,"N/A")</f>
        <v/>
      </c>
      <c r="L12" s="43">
        <f>IFERROR(E12*F12/H12,"N/A")</f>
        <v/>
      </c>
      <c r="M12" s="42">
        <f>IFERROR(G12/H12*100,"N/A")</f>
        <v/>
      </c>
      <c r="N12" s="42">
        <f>IFERROR(I12/E12*100,0)</f>
        <v/>
      </c>
      <c r="O12" s="42">
        <f>IFERROR(I12/J12*100,"N/A")</f>
        <v/>
      </c>
      <c r="P12" s="44" t="inlineStr">
        <is>
          <t>احتفاظ للدخل</t>
        </is>
      </c>
    </row>
    <row r="14" ht="40" customHeight="1">
      <c r="A14" s="46" t="inlineStr">
        <is>
          <t>⚠ تنبيهات: (1) الراجحي: منح سهم لكل سهمين في H2 2025 يُعدل EPS/DPS لاحقاً. (2) المتقدمة: خسارة 2024، مستثناة من P/E. (3) بدجت: انخفاض حاد في Q1 2026 يستوجب مراقبة. (4) STC: ربح 2024 يشمل بنود غير متكررة. (5) جميع الأرقام بالريال السعودي.</t>
        </is>
      </c>
    </row>
    <row r="16" ht="8" customHeight="1"/>
    <row r="17" ht="24" customHeight="1">
      <c r="A17" s="47" t="inlineStr">
        <is>
          <t>📖  مسرد المصطلحات والاختصارات المستخدمة في هذه الورقة</t>
        </is>
      </c>
    </row>
    <row r="18" ht="20" customHeight="1">
      <c r="A18" s="48" t="inlineStr">
        <is>
          <t>المصطلح / الاختصار</t>
        </is>
      </c>
      <c r="E18" s="48" t="inlineStr">
        <is>
          <t>الشرح والصيغة</t>
        </is>
      </c>
    </row>
    <row r="19" ht="18" customHeight="1">
      <c r="A19" s="49" t="inlineStr">
        <is>
          <t>EPS — ربح السهم</t>
        </is>
      </c>
      <c r="E19" s="50" t="inlineStr">
        <is>
          <t>صافي الربح ÷ عدد الأسهم  |  الصيغة: =ربح 2024 (م.) ÷ الأسهم (م.)  |  النتيجة: ريال/سهم</t>
        </is>
      </c>
    </row>
    <row r="20" ht="18" customHeight="1">
      <c r="A20" s="51" t="inlineStr">
        <is>
          <t>P/E — مكرر الربحية</t>
        </is>
      </c>
      <c r="E20" s="52" t="inlineStr">
        <is>
          <t>السعر ÷ EPS  |  يقيس كم يدفع المستثمر مقابل كل ريال ربح  |  أقل = أرخص نسبياً</t>
        </is>
      </c>
    </row>
    <row r="21" ht="18" customHeight="1">
      <c r="A21" s="49" t="inlineStr">
        <is>
          <t>P/B — مكرر القيمة الدفترية</t>
        </is>
      </c>
      <c r="E21" s="50" t="inlineStr">
        <is>
          <t>(السعر × الأسهم) ÷ حقوق الملكية  |  نسبة &lt; 1 تعني تداول السهم بأقل من قيمته الدفترية</t>
        </is>
      </c>
    </row>
    <row r="22" ht="18" customHeight="1">
      <c r="A22" s="51" t="inlineStr">
        <is>
          <t>ROE% — العائد على حقوق الملكية</t>
        </is>
      </c>
      <c r="E22" s="52" t="inlineStr">
        <is>
          <t>صافي الربح ÷ حقوق الملكية × 100  |  يقيس كفاءة توظيف أموال المساهمين  |  كلما ارتفع كان أفضل</t>
        </is>
      </c>
    </row>
    <row r="23" ht="18" customHeight="1">
      <c r="A23" s="49" t="inlineStr">
        <is>
          <t>DPS — توزيع السهم</t>
        </is>
      </c>
      <c r="E23" s="50" t="inlineStr">
        <is>
          <t>إجمالي التوزيعات النقدية المُعلنة خلال العام ÷ عدد الأسهم  |  ريال/سهم</t>
        </is>
      </c>
    </row>
    <row r="24" ht="18" customHeight="1">
      <c r="A24" s="51" t="inlineStr">
        <is>
          <t>عائد التوزيع%</t>
        </is>
      </c>
      <c r="E24" s="52" t="inlineStr">
        <is>
          <t>DPS ÷ السعر × 100  |  يمثّل الدخل النقدي السنوي كنسبة من قيمة الاستثمار</t>
        </is>
      </c>
    </row>
    <row r="25" ht="18" customHeight="1">
      <c r="A25" s="49" t="inlineStr">
        <is>
          <t>نسبة التوزيع%</t>
        </is>
      </c>
      <c r="E25" s="50" t="inlineStr">
        <is>
          <t>DPS ÷ EPS × 100  |  ما يُعاد للمساهمين من الأرباح  |  أقل من 80% يُعدّ مستداماً</t>
        </is>
      </c>
    </row>
    <row r="26" ht="18" customHeight="1">
      <c r="A26" s="51" t="inlineStr">
        <is>
          <t>م. = مليون ريال</t>
        </is>
      </c>
      <c r="E26" s="52" t="inlineStr">
        <is>
          <t>وحدة القياس المستخدمة لجميع الأرقام المالية في هذا الجدول</t>
        </is>
      </c>
    </row>
    <row r="27" ht="18" customHeight="1">
      <c r="A27" s="49" t="inlineStr">
        <is>
          <t>🟡 Blend</t>
        </is>
      </c>
      <c r="E27" s="50" t="inlineStr">
        <is>
          <t>شركة تجمع خصائص النمو والقيمة — تتمتع بأرباح مستقرة مع إمكانية توسع معقولة</t>
        </is>
      </c>
    </row>
    <row r="28" ht="18" customHeight="1">
      <c r="A28" s="51" t="inlineStr">
        <is>
          <t>🔵 Growth</t>
        </is>
      </c>
      <c r="E28" s="52" t="inlineStr">
        <is>
          <t>شركة ذات نمو مرتفع في الأرباح والإيرادات — تُقيَّم عادةً بمكررات أعلى من السوق</t>
        </is>
      </c>
    </row>
    <row r="29" ht="18" customHeight="1">
      <c r="A29" s="49" t="inlineStr">
        <is>
          <t>🟢 Value</t>
        </is>
      </c>
      <c r="E29" s="50" t="inlineStr">
        <is>
          <t>شركة تُتداول بأقل من قيمتها الجوهرية — تمثّل فرصة للمستثمر الباحث عن هامش أمان</t>
        </is>
      </c>
    </row>
    <row r="30" ht="18" customHeight="1">
      <c r="A30" s="51" t="inlineStr">
        <is>
          <t>تراكم بقوة</t>
        </is>
      </c>
      <c r="E30" s="52" t="inlineStr">
        <is>
          <t>توصية بشراء قوي — يُنصح ببناء مركز مرتفع (&gt; 10% من المحفظة)</t>
        </is>
      </c>
    </row>
    <row r="31" ht="18" customHeight="1">
      <c r="A31" s="49" t="inlineStr">
        <is>
          <t>تراكم</t>
        </is>
      </c>
      <c r="E31" s="50" t="inlineStr">
        <is>
          <t>توصية بالشراء التدريجي وبناء مركز في السهم</t>
        </is>
      </c>
    </row>
    <row r="32" ht="18" customHeight="1">
      <c r="A32" s="51" t="inlineStr">
        <is>
          <t>احتفاظ / تراكم عند الضعف</t>
        </is>
      </c>
      <c r="E32" s="52" t="inlineStr">
        <is>
          <t>الإبقاء على الحصة الحالية مع الشراء عند أي تراجع في السعر</t>
        </is>
      </c>
    </row>
    <row r="33" ht="18" customHeight="1">
      <c r="A33" s="49" t="inlineStr">
        <is>
          <t>مراقبة</t>
        </is>
      </c>
      <c r="E33" s="50" t="inlineStr">
        <is>
          <t>متابعة السهم عن كثب دون التصرف حتى تتضح صورة الأداء القادم</t>
        </is>
      </c>
    </row>
  </sheetData>
  <mergeCells count="36">
    <mergeCell ref="E20:P20"/>
    <mergeCell ref="A23:D23"/>
    <mergeCell ref="A14:P14"/>
    <mergeCell ref="A22:D22"/>
    <mergeCell ref="E28:P28"/>
    <mergeCell ref="A17:P17"/>
    <mergeCell ref="E19:P19"/>
    <mergeCell ref="A20:D20"/>
    <mergeCell ref="A29:D29"/>
    <mergeCell ref="E31:P31"/>
    <mergeCell ref="A19:D19"/>
    <mergeCell ref="A28:D28"/>
    <mergeCell ref="E30:P30"/>
    <mergeCell ref="A31:D31"/>
    <mergeCell ref="E29:P29"/>
    <mergeCell ref="E27:P27"/>
    <mergeCell ref="A30:D30"/>
    <mergeCell ref="A24:D24"/>
    <mergeCell ref="E26:P26"/>
    <mergeCell ref="E32:P32"/>
    <mergeCell ref="E25:P25"/>
    <mergeCell ref="A1:P1"/>
    <mergeCell ref="E22:P22"/>
    <mergeCell ref="A25:D25"/>
    <mergeCell ref="E18:P18"/>
    <mergeCell ref="E21:P21"/>
    <mergeCell ref="A18:D18"/>
    <mergeCell ref="A27:D27"/>
    <mergeCell ref="E24:P24"/>
    <mergeCell ref="E33:P33"/>
    <mergeCell ref="A26:D26"/>
    <mergeCell ref="A21:D21"/>
    <mergeCell ref="E23:P23"/>
    <mergeCell ref="A33:D33"/>
    <mergeCell ref="A32:D32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0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8" customWidth="1" min="3" max="3"/>
    <col width="22" customWidth="1" min="4" max="4"/>
    <col width="24" customWidth="1" min="5" max="5"/>
    <col width="16" customWidth="1" min="6" max="6"/>
    <col width="32" customWidth="1" min="7" max="7"/>
  </cols>
  <sheetData>
    <row r="1" ht="28" customHeight="1">
      <c r="A1" s="53" t="inlineStr">
        <is>
          <t>تحليل التوزيعات النقدية التاريخية - مقارنة الأرباح الموزعة بصافي الربح والتدفق النقدي التشغيلي</t>
        </is>
      </c>
    </row>
    <row r="2" ht="20" customHeight="1">
      <c r="A2" s="54" t="inlineStr">
        <is>
          <t xml:space="preserve">  الراجحي (1120) — مصرفي  ✅ بعد منح الأسهم (1 سهم مجاني لكل 2) → الأسهم أصبحت 6B سهم | سعر مُعدَّل</t>
        </is>
      </c>
    </row>
    <row r="3" ht="22" customHeight="1">
      <c r="A3" s="55" t="inlineStr">
        <is>
          <t>الفترة</t>
        </is>
      </c>
      <c r="B3" s="55" t="inlineStr">
        <is>
          <t>النسبة %</t>
        </is>
      </c>
      <c r="C3" s="55" t="inlineStr">
        <is>
          <t>توزيع/سهم (ريال)</t>
        </is>
      </c>
      <c r="D3" s="55" t="inlineStr">
        <is>
          <t>إجمالي التوزيع (م.ريال)</t>
        </is>
      </c>
      <c r="E3" s="55" t="inlineStr">
        <is>
          <t>صافي الربح المقارن (م.ريال)</t>
        </is>
      </c>
      <c r="F3" s="55" t="inlineStr">
        <is>
          <t>نسبة التوزيع %</t>
        </is>
      </c>
      <c r="G3" s="55" t="inlineStr">
        <is>
          <t>ملاحظة</t>
        </is>
      </c>
    </row>
    <row r="4" ht="18" customHeight="1">
      <c r="A4" s="56" t="inlineStr">
        <is>
          <t>H1 2020</t>
        </is>
      </c>
      <c r="B4" s="57" t="inlineStr">
        <is>
          <t>12.5%</t>
        </is>
      </c>
      <c r="C4" s="57" t="n">
        <v>1.25</v>
      </c>
      <c r="D4" s="57" t="n">
        <v>5000</v>
      </c>
      <c r="E4" s="57" t="inlineStr">
        <is>
          <t>—</t>
        </is>
      </c>
      <c r="F4" s="58">
        <f>IFERROR(D4/E4,"—")</f>
        <v/>
      </c>
      <c r="G4" s="57" t="inlineStr"/>
    </row>
    <row r="5" ht="18" customHeight="1">
      <c r="A5" s="56" t="inlineStr">
        <is>
          <t>H2 2020</t>
        </is>
      </c>
      <c r="B5" s="57" t="inlineStr">
        <is>
          <t>10.0%</t>
        </is>
      </c>
      <c r="C5" s="57" t="n">
        <v>1</v>
      </c>
      <c r="D5" s="57" t="n">
        <v>4000</v>
      </c>
      <c r="E5" s="57" t="inlineStr">
        <is>
          <t>—</t>
        </is>
      </c>
      <c r="F5" s="58">
        <f>IFERROR(D5/E5,"—")</f>
        <v/>
      </c>
      <c r="G5" s="57" t="inlineStr"/>
    </row>
    <row r="6" ht="18" customHeight="1">
      <c r="A6" s="56" t="inlineStr">
        <is>
          <t>H1 2021</t>
        </is>
      </c>
      <c r="B6" s="57" t="inlineStr">
        <is>
          <t>12.5%</t>
        </is>
      </c>
      <c r="C6" s="57" t="n">
        <v>1.25</v>
      </c>
      <c r="D6" s="57" t="n">
        <v>5000</v>
      </c>
      <c r="E6" s="57" t="n">
        <v>14979</v>
      </c>
      <c r="F6" s="59">
        <f>IFERROR(D6/E6,"—")</f>
        <v/>
      </c>
      <c r="G6" s="57" t="inlineStr"/>
    </row>
    <row r="7" ht="18" customHeight="1">
      <c r="A7" s="56" t="inlineStr">
        <is>
          <t>H2 2021</t>
        </is>
      </c>
      <c r="B7" s="57" t="inlineStr">
        <is>
          <t>9.375%</t>
        </is>
      </c>
      <c r="C7" s="57" t="n">
        <v>0.9375</v>
      </c>
      <c r="D7" s="57" t="n">
        <v>3750</v>
      </c>
      <c r="E7" s="57" t="n">
        <v>14979</v>
      </c>
      <c r="F7" s="59">
        <f>IFERROR(D7/E7,"—")</f>
        <v/>
      </c>
      <c r="G7" s="57" t="inlineStr"/>
    </row>
    <row r="8" ht="18" customHeight="1">
      <c r="A8" s="56" t="inlineStr">
        <is>
          <t>H1 2022</t>
        </is>
      </c>
      <c r="B8" s="57" t="inlineStr">
        <is>
          <t>12.5%</t>
        </is>
      </c>
      <c r="C8" s="57" t="n">
        <v>1.25</v>
      </c>
      <c r="D8" s="57" t="n">
        <v>5000</v>
      </c>
      <c r="E8" s="57" t="n">
        <v>17151</v>
      </c>
      <c r="F8" s="59">
        <f>IFERROR(D8/E8,"—")</f>
        <v/>
      </c>
      <c r="G8" s="57" t="inlineStr"/>
    </row>
    <row r="9" ht="18" customHeight="1">
      <c r="A9" s="56" t="inlineStr">
        <is>
          <t>H2 2022</t>
        </is>
      </c>
      <c r="B9" s="57" t="inlineStr">
        <is>
          <t>12.5%</t>
        </is>
      </c>
      <c r="C9" s="57" t="n">
        <v>1.25</v>
      </c>
      <c r="D9" s="57" t="n">
        <v>5000</v>
      </c>
      <c r="E9" s="57" t="n">
        <v>17151</v>
      </c>
      <c r="F9" s="59">
        <f>IFERROR(D9/E9,"—")</f>
        <v/>
      </c>
      <c r="G9" s="57" t="inlineStr"/>
    </row>
    <row r="10" ht="18" customHeight="1">
      <c r="A10" s="56" t="inlineStr">
        <is>
          <t>H1 2023</t>
        </is>
      </c>
      <c r="B10" s="57" t="inlineStr">
        <is>
          <t>11.5%</t>
        </is>
      </c>
      <c r="C10" s="57" t="n">
        <v>1.15</v>
      </c>
      <c r="D10" s="57" t="n">
        <v>4600</v>
      </c>
      <c r="E10" s="57" t="n">
        <v>16621</v>
      </c>
      <c r="F10" s="59">
        <f>IFERROR(D10/E10,"—")</f>
        <v/>
      </c>
      <c r="G10" s="57" t="inlineStr"/>
    </row>
    <row r="11" ht="18" customHeight="1">
      <c r="A11" s="56" t="inlineStr">
        <is>
          <t>H2 2023</t>
        </is>
      </c>
      <c r="B11" s="57" t="inlineStr">
        <is>
          <t>11.5%</t>
        </is>
      </c>
      <c r="C11" s="57" t="n">
        <v>1.15</v>
      </c>
      <c r="D11" s="57" t="n">
        <v>4600</v>
      </c>
      <c r="E11" s="57" t="n">
        <v>16621</v>
      </c>
      <c r="F11" s="59">
        <f>IFERROR(D11/E11,"—")</f>
        <v/>
      </c>
      <c r="G11" s="57" t="inlineStr"/>
    </row>
    <row r="12" ht="18" customHeight="1">
      <c r="A12" s="56" t="inlineStr">
        <is>
          <t>H1 2024</t>
        </is>
      </c>
      <c r="B12" s="57" t="inlineStr">
        <is>
          <t>12.5%</t>
        </is>
      </c>
      <c r="C12" s="57" t="n">
        <v>1.25</v>
      </c>
      <c r="D12" s="57" t="n">
        <v>5000</v>
      </c>
      <c r="E12" s="57" t="n">
        <v>19722</v>
      </c>
      <c r="F12" s="59">
        <f>IFERROR(D12/E12,"—")</f>
        <v/>
      </c>
      <c r="G12" s="57" t="inlineStr"/>
    </row>
    <row r="13" ht="18" customHeight="1">
      <c r="A13" s="56" t="inlineStr">
        <is>
          <t>H2 2024</t>
        </is>
      </c>
      <c r="B13" s="57" t="inlineStr">
        <is>
          <t>14.6%</t>
        </is>
      </c>
      <c r="C13" s="57" t="n">
        <v>1.46</v>
      </c>
      <c r="D13" s="57" t="n">
        <v>5840</v>
      </c>
      <c r="E13" s="57" t="n">
        <v>19722</v>
      </c>
      <c r="F13" s="59">
        <f>IFERROR(D13/E13,"—")</f>
        <v/>
      </c>
      <c r="G13" s="57" t="inlineStr"/>
    </row>
    <row r="14" ht="18" customHeight="1">
      <c r="A14" s="56" t="inlineStr">
        <is>
          <t>H1 2025</t>
        </is>
      </c>
      <c r="B14" s="57" t="inlineStr">
        <is>
          <t>7.5%</t>
        </is>
      </c>
      <c r="C14" s="57" t="n">
        <v>0.75</v>
      </c>
      <c r="D14" s="57" t="n">
        <v>3000</v>
      </c>
      <c r="E14" s="57" t="inlineStr">
        <is>
          <t>—</t>
        </is>
      </c>
      <c r="F14" s="58">
        <f>IFERROR(D14/E14,"—")</f>
        <v/>
      </c>
      <c r="G14" s="57" t="inlineStr"/>
    </row>
    <row r="15" ht="18" customHeight="1">
      <c r="A15" s="56" t="inlineStr">
        <is>
          <t>H2 2025</t>
        </is>
      </c>
      <c r="B15" s="57" t="inlineStr">
        <is>
          <t>17.5%</t>
        </is>
      </c>
      <c r="C15" s="57" t="n">
        <v>1.75</v>
      </c>
      <c r="D15" s="57" t="n">
        <v>7000</v>
      </c>
      <c r="E15" s="57" t="inlineStr">
        <is>
          <t>—</t>
        </is>
      </c>
      <c r="F15" s="58">
        <f>IFERROR(D15/E15,"—")</f>
        <v/>
      </c>
      <c r="G15" s="57" t="inlineStr">
        <is>
          <t>⚠ قبل المنح</t>
        </is>
      </c>
    </row>
    <row r="16" ht="18" customHeight="1">
      <c r="A16" s="60" t="inlineStr">
        <is>
          <t xml:space="preserve">  ملخص سنوي: 2020: 2.25 ريال/سهم | 2021: 2.19 ريال/سهم | 2022: 2.50 ريال/سهم | 2023: 2.30 ريال/سهم | 2024: 2.71 ريال/سهم | 2025: 2.50 ريال/سهم</t>
        </is>
      </c>
    </row>
    <row r="18" ht="20" customHeight="1">
      <c r="A18" s="54" t="inlineStr">
        <is>
          <t xml:space="preserve">  الإنماء (1150) — مصرفي  تحول إلى توزيعات ربعية منذ 2023</t>
        </is>
      </c>
    </row>
    <row r="19" ht="22" customHeight="1">
      <c r="A19" s="55" t="inlineStr">
        <is>
          <t>الفترة</t>
        </is>
      </c>
      <c r="B19" s="55" t="inlineStr">
        <is>
          <t>النسبة %</t>
        </is>
      </c>
      <c r="C19" s="55" t="inlineStr">
        <is>
          <t>توزيع/سهم (ريال)</t>
        </is>
      </c>
      <c r="D19" s="55" t="inlineStr">
        <is>
          <t>إجمالي التوزيع (م.ريال)</t>
        </is>
      </c>
      <c r="E19" s="55" t="inlineStr">
        <is>
          <t>صافي الربح المقارن (م.ريال)</t>
        </is>
      </c>
      <c r="F19" s="55" t="inlineStr">
        <is>
          <t>نسبة التوزيع %</t>
        </is>
      </c>
      <c r="G19" s="55" t="inlineStr">
        <is>
          <t>ملاحظة</t>
        </is>
      </c>
    </row>
    <row r="20" ht="18" customHeight="1">
      <c r="A20" s="56" t="inlineStr">
        <is>
          <t>Q1 2023</t>
        </is>
      </c>
      <c r="B20" s="57" t="inlineStr">
        <is>
          <t>2.5%</t>
        </is>
      </c>
      <c r="C20" s="57" t="n">
        <v>0.25</v>
      </c>
      <c r="D20" s="57" t="n">
        <v>498</v>
      </c>
      <c r="E20" s="57" t="n">
        <v>4839</v>
      </c>
      <c r="F20" s="59">
        <f>IFERROR(D20/E20,"—")</f>
        <v/>
      </c>
      <c r="G20" s="57" t="inlineStr"/>
    </row>
    <row r="21" ht="18" customHeight="1">
      <c r="A21" s="56" t="inlineStr">
        <is>
          <t>Q2 2023</t>
        </is>
      </c>
      <c r="B21" s="57" t="inlineStr">
        <is>
          <t>2.5%</t>
        </is>
      </c>
      <c r="C21" s="57" t="n">
        <v>0.25</v>
      </c>
      <c r="D21" s="57" t="n">
        <v>498</v>
      </c>
      <c r="E21" s="57" t="n">
        <v>4839</v>
      </c>
      <c r="F21" s="59">
        <f>IFERROR(D21/E21,"—")</f>
        <v/>
      </c>
      <c r="G21" s="57" t="inlineStr"/>
    </row>
    <row r="22" ht="18" customHeight="1">
      <c r="A22" s="56" t="inlineStr">
        <is>
          <t>Q3 2023</t>
        </is>
      </c>
      <c r="B22" s="57" t="inlineStr">
        <is>
          <t>2.5%</t>
        </is>
      </c>
      <c r="C22" s="57" t="n">
        <v>0.25</v>
      </c>
      <c r="D22" s="57" t="n">
        <v>498</v>
      </c>
      <c r="E22" s="57" t="n">
        <v>4839</v>
      </c>
      <c r="F22" s="59">
        <f>IFERROR(D22/E22,"—")</f>
        <v/>
      </c>
      <c r="G22" s="57" t="inlineStr"/>
    </row>
    <row r="23" ht="18" customHeight="1">
      <c r="A23" s="56" t="inlineStr">
        <is>
          <t>Q4 2023</t>
        </is>
      </c>
      <c r="B23" s="57" t="inlineStr">
        <is>
          <t>2.5%</t>
        </is>
      </c>
      <c r="C23" s="57" t="n">
        <v>0.25</v>
      </c>
      <c r="D23" s="57" t="n">
        <v>498</v>
      </c>
      <c r="E23" s="57" t="n">
        <v>4839</v>
      </c>
      <c r="F23" s="59">
        <f>IFERROR(D23/E23,"—")</f>
        <v/>
      </c>
      <c r="G23" s="57" t="inlineStr"/>
    </row>
    <row r="24" ht="18" customHeight="1">
      <c r="A24" s="56" t="inlineStr">
        <is>
          <t>Q1 2024</t>
        </is>
      </c>
      <c r="B24" s="57" t="inlineStr">
        <is>
          <t>2.5%</t>
        </is>
      </c>
      <c r="C24" s="57" t="n">
        <v>0.25</v>
      </c>
      <c r="D24" s="57" t="n">
        <v>498</v>
      </c>
      <c r="E24" s="57" t="n">
        <v>5832</v>
      </c>
      <c r="F24" s="59">
        <f>IFERROR(D24/E24,"—")</f>
        <v/>
      </c>
      <c r="G24" s="57" t="inlineStr"/>
    </row>
    <row r="25" ht="18" customHeight="1">
      <c r="A25" s="56" t="inlineStr">
        <is>
          <t>Q2 2024</t>
        </is>
      </c>
      <c r="B25" s="57" t="inlineStr">
        <is>
          <t>2.5%</t>
        </is>
      </c>
      <c r="C25" s="57" t="n">
        <v>0.25</v>
      </c>
      <c r="D25" s="57" t="n">
        <v>498</v>
      </c>
      <c r="E25" s="57" t="n">
        <v>5832</v>
      </c>
      <c r="F25" s="59">
        <f>IFERROR(D25/E25,"—")</f>
        <v/>
      </c>
      <c r="G25" s="57" t="inlineStr"/>
    </row>
    <row r="26" ht="18" customHeight="1">
      <c r="A26" s="56" t="inlineStr">
        <is>
          <t>Q3 2024</t>
        </is>
      </c>
      <c r="B26" s="57" t="inlineStr">
        <is>
          <t>3.0%</t>
        </is>
      </c>
      <c r="C26" s="57" t="n">
        <v>0.3</v>
      </c>
      <c r="D26" s="57" t="n">
        <v>598</v>
      </c>
      <c r="E26" s="57" t="n">
        <v>5832</v>
      </c>
      <c r="F26" s="59">
        <f>IFERROR(D26/E26,"—")</f>
        <v/>
      </c>
      <c r="G26" s="57" t="inlineStr"/>
    </row>
    <row r="27" ht="18" customHeight="1">
      <c r="A27" s="56" t="inlineStr">
        <is>
          <t>Q4 2024</t>
        </is>
      </c>
      <c r="B27" s="57" t="inlineStr">
        <is>
          <t>3.0%</t>
        </is>
      </c>
      <c r="C27" s="57" t="n">
        <v>0.3</v>
      </c>
      <c r="D27" s="57" t="n">
        <v>598</v>
      </c>
      <c r="E27" s="57" t="n">
        <v>5832</v>
      </c>
      <c r="F27" s="59">
        <f>IFERROR(D27/E27,"—")</f>
        <v/>
      </c>
      <c r="G27" s="57" t="inlineStr"/>
    </row>
    <row r="28" ht="18" customHeight="1">
      <c r="A28" s="56" t="inlineStr">
        <is>
          <t>Q1 2025</t>
        </is>
      </c>
      <c r="B28" s="57" t="inlineStr">
        <is>
          <t>3.0%</t>
        </is>
      </c>
      <c r="C28" s="57" t="n">
        <v>0.3</v>
      </c>
      <c r="D28" s="57" t="n">
        <v>598</v>
      </c>
      <c r="E28" s="57" t="inlineStr">
        <is>
          <t>—</t>
        </is>
      </c>
      <c r="F28" s="58">
        <f>IFERROR(D28/E28,"—")</f>
        <v/>
      </c>
      <c r="G28" s="57" t="inlineStr"/>
    </row>
    <row r="29" ht="18" customHeight="1">
      <c r="A29" s="56" t="inlineStr">
        <is>
          <t>Q2 2025</t>
        </is>
      </c>
      <c r="B29" s="57" t="inlineStr">
        <is>
          <t>3.0%</t>
        </is>
      </c>
      <c r="C29" s="57" t="n">
        <v>0.3</v>
      </c>
      <c r="D29" s="57" t="n">
        <v>598</v>
      </c>
      <c r="E29" s="57" t="inlineStr">
        <is>
          <t>—</t>
        </is>
      </c>
      <c r="F29" s="58">
        <f>IFERROR(D29/E29,"—")</f>
        <v/>
      </c>
      <c r="G29" s="57" t="inlineStr"/>
    </row>
    <row r="30" ht="18" customHeight="1">
      <c r="A30" s="56" t="inlineStr">
        <is>
          <t>Q3 2025</t>
        </is>
      </c>
      <c r="B30" s="57" t="inlineStr">
        <is>
          <t>3.0%</t>
        </is>
      </c>
      <c r="C30" s="57" t="n">
        <v>0.3</v>
      </c>
      <c r="D30" s="57" t="n">
        <v>598</v>
      </c>
      <c r="E30" s="57" t="inlineStr">
        <is>
          <t>—</t>
        </is>
      </c>
      <c r="F30" s="58">
        <f>IFERROR(D30/E30,"—")</f>
        <v/>
      </c>
      <c r="G30" s="57" t="inlineStr"/>
    </row>
    <row r="31" ht="18" customHeight="1">
      <c r="A31" s="56" t="inlineStr">
        <is>
          <t>Q1 2026</t>
        </is>
      </c>
      <c r="B31" s="57" t="inlineStr">
        <is>
          <t>2.5%</t>
        </is>
      </c>
      <c r="C31" s="57" t="n">
        <v>0.25</v>
      </c>
      <c r="D31" s="57" t="n">
        <v>498</v>
      </c>
      <c r="E31" s="57" t="inlineStr">
        <is>
          <t>—</t>
        </is>
      </c>
      <c r="F31" s="58">
        <f>IFERROR(D31/E31,"—")</f>
        <v/>
      </c>
      <c r="G31" s="57" t="inlineStr"/>
    </row>
    <row r="32" ht="18" customHeight="1">
      <c r="A32" s="60" t="inlineStr">
        <is>
          <t xml:space="preserve">  ملخص سنوي: 2023: 1.00 ريال/سهم | 2024: 1.10 ريال/سهم | 2025: 0.90 ريال/سهم | 2026: 0.25 ريال/سهم</t>
        </is>
      </c>
    </row>
    <row r="34" ht="20" customHeight="1">
      <c r="A34" s="54" t="inlineStr">
        <is>
          <t xml:space="preserve">  STC (7010) — اتصالات  ⚠ ربح 2024 (24.7B) يشمل بيع TAWAL (13.97B غير متكرر) → الربح الجاري ≈ 10.7B ريال</t>
        </is>
      </c>
    </row>
    <row r="35" ht="22" customHeight="1">
      <c r="A35" s="55" t="inlineStr">
        <is>
          <t>الفترة</t>
        </is>
      </c>
      <c r="B35" s="55" t="inlineStr">
        <is>
          <t>النسبة %</t>
        </is>
      </c>
      <c r="C35" s="55" t="inlineStr">
        <is>
          <t>توزيع/سهم (ريال)</t>
        </is>
      </c>
      <c r="D35" s="55" t="inlineStr">
        <is>
          <t>إجمالي التوزيع (م.ريال)</t>
        </is>
      </c>
      <c r="E35" s="55" t="inlineStr">
        <is>
          <t>صافي الربح المقارن (م.ريال)</t>
        </is>
      </c>
      <c r="F35" s="55" t="inlineStr">
        <is>
          <t>نسبة التوزيع %</t>
        </is>
      </c>
      <c r="G35" s="55" t="inlineStr">
        <is>
          <t>ملاحظة</t>
        </is>
      </c>
    </row>
    <row r="36" ht="18" customHeight="1">
      <c r="A36" s="56" t="inlineStr">
        <is>
          <t>Q1 2022</t>
        </is>
      </c>
      <c r="B36" s="57" t="inlineStr">
        <is>
          <t>4.0%</t>
        </is>
      </c>
      <c r="C36" s="57" t="n">
        <v>0.4</v>
      </c>
      <c r="D36" s="57" t="n">
        <v>2000</v>
      </c>
      <c r="E36" s="57" t="n">
        <v>12200</v>
      </c>
      <c r="F36" s="59">
        <f>IFERROR(D36/E36,"—")</f>
        <v/>
      </c>
      <c r="G36" s="57" t="inlineStr"/>
    </row>
    <row r="37" ht="18" customHeight="1">
      <c r="A37" s="56" t="inlineStr">
        <is>
          <t>Q2 2022</t>
        </is>
      </c>
      <c r="B37" s="57" t="inlineStr">
        <is>
          <t>4.0%</t>
        </is>
      </c>
      <c r="C37" s="57" t="n">
        <v>0.4</v>
      </c>
      <c r="D37" s="57" t="n">
        <v>2000</v>
      </c>
      <c r="E37" s="57" t="n">
        <v>12200</v>
      </c>
      <c r="F37" s="59">
        <f>IFERROR(D37/E37,"—")</f>
        <v/>
      </c>
      <c r="G37" s="57" t="inlineStr"/>
    </row>
    <row r="38" ht="18" customHeight="1">
      <c r="A38" s="56" t="inlineStr">
        <is>
          <t>Q3 2022</t>
        </is>
      </c>
      <c r="B38" s="57" t="inlineStr">
        <is>
          <t>4.0%</t>
        </is>
      </c>
      <c r="C38" s="57" t="n">
        <v>0.4</v>
      </c>
      <c r="D38" s="57" t="n">
        <v>2000</v>
      </c>
      <c r="E38" s="57" t="n">
        <v>12200</v>
      </c>
      <c r="F38" s="59">
        <f>IFERROR(D38/E38,"—")</f>
        <v/>
      </c>
      <c r="G38" s="57" t="inlineStr"/>
    </row>
    <row r="39" ht="18" customHeight="1">
      <c r="A39" s="56" t="inlineStr">
        <is>
          <t>Q4 2022</t>
        </is>
      </c>
      <c r="B39" s="57" t="inlineStr">
        <is>
          <t>4.0%</t>
        </is>
      </c>
      <c r="C39" s="57" t="n">
        <v>0.4</v>
      </c>
      <c r="D39" s="57" t="n">
        <v>2000</v>
      </c>
      <c r="E39" s="57" t="n">
        <v>12200</v>
      </c>
      <c r="F39" s="59">
        <f>IFERROR(D39/E39,"—")</f>
        <v/>
      </c>
      <c r="G39" s="57" t="inlineStr"/>
    </row>
    <row r="40" ht="18" customHeight="1">
      <c r="A40" s="56" t="inlineStr">
        <is>
          <t>Q1 2023</t>
        </is>
      </c>
      <c r="B40" s="57" t="inlineStr">
        <is>
          <t>4.0%</t>
        </is>
      </c>
      <c r="C40" s="57" t="n">
        <v>0.4</v>
      </c>
      <c r="D40" s="57" t="n">
        <v>2000</v>
      </c>
      <c r="E40" s="57" t="n">
        <v>13300</v>
      </c>
      <c r="F40" s="59">
        <f>IFERROR(D40/E40,"—")</f>
        <v/>
      </c>
      <c r="G40" s="57" t="inlineStr"/>
    </row>
    <row r="41" ht="18" customHeight="1">
      <c r="A41" s="56" t="inlineStr">
        <is>
          <t>Q2 2023</t>
        </is>
      </c>
      <c r="B41" s="57" t="inlineStr">
        <is>
          <t>4.0%</t>
        </is>
      </c>
      <c r="C41" s="57" t="n">
        <v>0.4</v>
      </c>
      <c r="D41" s="57" t="n">
        <v>2000</v>
      </c>
      <c r="E41" s="57" t="n">
        <v>13300</v>
      </c>
      <c r="F41" s="59">
        <f>IFERROR(D41/E41,"—")</f>
        <v/>
      </c>
      <c r="G41" s="57" t="inlineStr"/>
    </row>
    <row r="42" ht="18" customHeight="1">
      <c r="A42" s="56" t="inlineStr">
        <is>
          <t>Q3 2023</t>
        </is>
      </c>
      <c r="B42" s="57" t="inlineStr">
        <is>
          <t>4.0%</t>
        </is>
      </c>
      <c r="C42" s="57" t="n">
        <v>0.4</v>
      </c>
      <c r="D42" s="57" t="n">
        <v>2000</v>
      </c>
      <c r="E42" s="57" t="n">
        <v>13300</v>
      </c>
      <c r="F42" s="59">
        <f>IFERROR(D42/E42,"—")</f>
        <v/>
      </c>
      <c r="G42" s="57" t="inlineStr"/>
    </row>
    <row r="43" ht="18" customHeight="1">
      <c r="A43" s="56" t="inlineStr">
        <is>
          <t>Q4 2023</t>
        </is>
      </c>
      <c r="B43" s="57" t="inlineStr">
        <is>
          <t>4.0%</t>
        </is>
      </c>
      <c r="C43" s="57" t="n">
        <v>0.4</v>
      </c>
      <c r="D43" s="57" t="n">
        <v>2000</v>
      </c>
      <c r="E43" s="57" t="n">
        <v>13300</v>
      </c>
      <c r="F43" s="59">
        <f>IFERROR(D43/E43,"—")</f>
        <v/>
      </c>
      <c r="G43" s="57" t="inlineStr"/>
    </row>
    <row r="44" ht="18" customHeight="1">
      <c r="A44" s="56" t="inlineStr">
        <is>
          <t>Q1 2024</t>
        </is>
      </c>
      <c r="B44" s="57" t="inlineStr">
        <is>
          <t>4.0%</t>
        </is>
      </c>
      <c r="C44" s="57" t="n">
        <v>0.4</v>
      </c>
      <c r="D44" s="57" t="n">
        <v>2000</v>
      </c>
      <c r="E44" s="57" t="n">
        <v>24689</v>
      </c>
      <c r="F44" s="59">
        <f>IFERROR(D44/E44,"—")</f>
        <v/>
      </c>
      <c r="G44" s="57" t="inlineStr"/>
    </row>
    <row r="45" ht="18" customHeight="1">
      <c r="A45" s="56" t="inlineStr">
        <is>
          <t>Q2 2024</t>
        </is>
      </c>
      <c r="B45" s="57" t="inlineStr">
        <is>
          <t>4.0%</t>
        </is>
      </c>
      <c r="C45" s="57" t="n">
        <v>0.4</v>
      </c>
      <c r="D45" s="57" t="n">
        <v>2000</v>
      </c>
      <c r="E45" s="57" t="n">
        <v>24689</v>
      </c>
      <c r="F45" s="59">
        <f>IFERROR(D45/E45,"—")</f>
        <v/>
      </c>
      <c r="G45" s="57" t="inlineStr"/>
    </row>
    <row r="46" ht="18" customHeight="1">
      <c r="A46" s="56" t="inlineStr">
        <is>
          <t>Q3 2024</t>
        </is>
      </c>
      <c r="B46" s="57" t="inlineStr">
        <is>
          <t>4.0%</t>
        </is>
      </c>
      <c r="C46" s="57" t="n">
        <v>0.4</v>
      </c>
      <c r="D46" s="57" t="n">
        <v>2000</v>
      </c>
      <c r="E46" s="57" t="n">
        <v>24689</v>
      </c>
      <c r="F46" s="59">
        <f>IFERROR(D46/E46,"—")</f>
        <v/>
      </c>
      <c r="G46" s="57" t="inlineStr"/>
    </row>
    <row r="47" ht="18" customHeight="1">
      <c r="A47" s="56" t="inlineStr">
        <is>
          <t>Q4 2024 + استثنائي</t>
        </is>
      </c>
      <c r="B47" s="57" t="inlineStr">
        <is>
          <t>25.5%</t>
        </is>
      </c>
      <c r="C47" s="57" t="n">
        <v>2.55</v>
      </c>
      <c r="D47" s="57" t="n">
        <v>12750</v>
      </c>
      <c r="E47" s="57" t="n">
        <v>24689</v>
      </c>
      <c r="F47" s="59">
        <f>IFERROR(D47/E47,"—")</f>
        <v/>
      </c>
      <c r="G47" s="57" t="inlineStr">
        <is>
          <t>⚠ يشمل 2 ريال بند غير متكرر</t>
        </is>
      </c>
    </row>
    <row r="48" ht="18" customHeight="1">
      <c r="A48" s="56" t="inlineStr">
        <is>
          <t>Q1 2025</t>
        </is>
      </c>
      <c r="B48" s="57" t="inlineStr">
        <is>
          <t>5.5%</t>
        </is>
      </c>
      <c r="C48" s="57" t="n">
        <v>0.55</v>
      </c>
      <c r="D48" s="57" t="n">
        <v>2750</v>
      </c>
      <c r="E48" s="57" t="inlineStr">
        <is>
          <t>—</t>
        </is>
      </c>
      <c r="F48" s="58">
        <f>IFERROR(D48/E48,"—")</f>
        <v/>
      </c>
      <c r="G48" s="57" t="inlineStr"/>
    </row>
    <row r="49" ht="18" customHeight="1">
      <c r="A49" s="56" t="inlineStr">
        <is>
          <t>Q2 2025</t>
        </is>
      </c>
      <c r="B49" s="57" t="inlineStr">
        <is>
          <t>5.5%</t>
        </is>
      </c>
      <c r="C49" s="57" t="n">
        <v>0.55</v>
      </c>
      <c r="D49" s="57" t="n">
        <v>2750</v>
      </c>
      <c r="E49" s="57" t="inlineStr">
        <is>
          <t>—</t>
        </is>
      </c>
      <c r="F49" s="58">
        <f>IFERROR(D49/E49,"—")</f>
        <v/>
      </c>
      <c r="G49" s="57" t="inlineStr"/>
    </row>
    <row r="50" ht="18" customHeight="1">
      <c r="A50" s="56" t="inlineStr">
        <is>
          <t>Q3 2025</t>
        </is>
      </c>
      <c r="B50" s="57" t="inlineStr">
        <is>
          <t>5.5%</t>
        </is>
      </c>
      <c r="C50" s="57" t="n">
        <v>0.55</v>
      </c>
      <c r="D50" s="57" t="n">
        <v>2750</v>
      </c>
      <c r="E50" s="57" t="inlineStr">
        <is>
          <t>—</t>
        </is>
      </c>
      <c r="F50" s="58">
        <f>IFERROR(D50/E50,"—")</f>
        <v/>
      </c>
      <c r="G50" s="57" t="inlineStr"/>
    </row>
    <row r="51" ht="18" customHeight="1">
      <c r="A51" s="56" t="inlineStr">
        <is>
          <t>Q4 2025</t>
        </is>
      </c>
      <c r="B51" s="57" t="inlineStr">
        <is>
          <t>5.5%</t>
        </is>
      </c>
      <c r="C51" s="57" t="n">
        <v>0.55</v>
      </c>
      <c r="D51" s="57" t="n">
        <v>2750</v>
      </c>
      <c r="E51" s="57" t="inlineStr">
        <is>
          <t>—</t>
        </is>
      </c>
      <c r="F51" s="58">
        <f>IFERROR(D51/E51,"—")</f>
        <v/>
      </c>
      <c r="G51" s="57" t="inlineStr"/>
    </row>
    <row r="52" ht="18" customHeight="1">
      <c r="A52" s="60" t="inlineStr">
        <is>
          <t xml:space="preserve">  ملخص سنوي: 2022: 1.60 ريال/سهم | 2023: 1.60 ريال/سهم | 2024: 3.75 ريال/سهم | 2025: 2.20 ريال/سهم</t>
        </is>
      </c>
    </row>
    <row r="54" ht="20" customHeight="1">
      <c r="A54" s="54" t="inlineStr">
        <is>
          <t xml:space="preserve">  سال (4263) — لوجستيات  IPO حديث (2022) - بيانات تاريخية محدودة | ✅ إيرادات 2024: 1.63B ريال (تحقق)</t>
        </is>
      </c>
    </row>
    <row r="55" ht="22" customHeight="1">
      <c r="A55" s="55" t="inlineStr">
        <is>
          <t>الفترة</t>
        </is>
      </c>
      <c r="B55" s="55" t="inlineStr">
        <is>
          <t>النسبة %</t>
        </is>
      </c>
      <c r="C55" s="55" t="inlineStr">
        <is>
          <t>توزيع/سهم (ريال)</t>
        </is>
      </c>
      <c r="D55" s="55" t="inlineStr">
        <is>
          <t>إجمالي التوزيع (م.ريال)</t>
        </is>
      </c>
      <c r="E55" s="55" t="inlineStr">
        <is>
          <t>صافي الربح المقارن (م.ريال)</t>
        </is>
      </c>
      <c r="F55" s="55" t="inlineStr">
        <is>
          <t>نسبة التوزيع %</t>
        </is>
      </c>
      <c r="G55" s="55" t="inlineStr">
        <is>
          <t>ملاحظة</t>
        </is>
      </c>
    </row>
    <row r="56" ht="18" customHeight="1">
      <c r="A56" s="56" t="inlineStr">
        <is>
          <t>Q4 2022</t>
        </is>
      </c>
      <c r="B56" s="57" t="inlineStr">
        <is>
          <t>5.0%</t>
        </is>
      </c>
      <c r="C56" s="57" t="n">
        <v>0.5</v>
      </c>
      <c r="D56" s="57" t="n">
        <v>40</v>
      </c>
      <c r="E56" s="57" t="n">
        <v>450</v>
      </c>
      <c r="F56" s="59">
        <f>IFERROR(D56/E56,"—")</f>
        <v/>
      </c>
      <c r="G56" s="57" t="inlineStr"/>
    </row>
    <row r="57" ht="18" customHeight="1">
      <c r="A57" s="56" t="inlineStr">
        <is>
          <t>Q4 2023</t>
        </is>
      </c>
      <c r="B57" s="57" t="inlineStr">
        <is>
          <t>10.0%</t>
        </is>
      </c>
      <c r="C57" s="57" t="n">
        <v>1</v>
      </c>
      <c r="D57" s="57" t="n">
        <v>80</v>
      </c>
      <c r="E57" s="57" t="n">
        <v>511</v>
      </c>
      <c r="F57" s="59">
        <f>IFERROR(D57/E57,"—")</f>
        <v/>
      </c>
      <c r="G57" s="57" t="inlineStr"/>
    </row>
    <row r="58" ht="18" customHeight="1">
      <c r="A58" s="56" t="inlineStr">
        <is>
          <t>Q4 2024</t>
        </is>
      </c>
      <c r="B58" s="57" t="inlineStr">
        <is>
          <t>13.3%</t>
        </is>
      </c>
      <c r="C58" s="57" t="n">
        <v>1.33</v>
      </c>
      <c r="D58" s="57" t="n">
        <v>106</v>
      </c>
      <c r="E58" s="57" t="n">
        <v>661</v>
      </c>
      <c r="F58" s="59">
        <f>IFERROR(D58/E58,"—")</f>
        <v/>
      </c>
      <c r="G58" s="57" t="inlineStr">
        <is>
          <t>✅ تحقق من تداول</t>
        </is>
      </c>
    </row>
    <row r="59" ht="18" customHeight="1">
      <c r="A59" s="56" t="inlineStr">
        <is>
          <t>Q1 2025</t>
        </is>
      </c>
      <c r="B59" s="57" t="inlineStr">
        <is>
          <t>14.3%</t>
        </is>
      </c>
      <c r="C59" s="57" t="n">
        <v>1.43</v>
      </c>
      <c r="D59" s="57" t="n">
        <v>114</v>
      </c>
      <c r="E59" s="57" t="inlineStr">
        <is>
          <t>—</t>
        </is>
      </c>
      <c r="F59" s="58">
        <f>IFERROR(D59/E59,"—")</f>
        <v/>
      </c>
      <c r="G59" s="57" t="inlineStr">
        <is>
          <t>✅ تحقق: 1.43 وليس 0.75</t>
        </is>
      </c>
    </row>
    <row r="60" ht="18" customHeight="1">
      <c r="A60" s="56" t="inlineStr">
        <is>
          <t>Q2 2025</t>
        </is>
      </c>
      <c r="B60" s="57" t="inlineStr">
        <is>
          <t>15.2%</t>
        </is>
      </c>
      <c r="C60" s="57" t="n">
        <v>1.52</v>
      </c>
      <c r="D60" s="57" t="n">
        <v>122</v>
      </c>
      <c r="E60" s="57" t="inlineStr">
        <is>
          <t>—</t>
        </is>
      </c>
      <c r="F60" s="58">
        <f>IFERROR(D60/E60,"—")</f>
        <v/>
      </c>
      <c r="G60" s="57" t="inlineStr">
        <is>
          <t>✅ تحقق</t>
        </is>
      </c>
    </row>
    <row r="61" ht="18" customHeight="1">
      <c r="A61" s="56" t="inlineStr">
        <is>
          <t>Q3 2025</t>
        </is>
      </c>
      <c r="B61" s="57" t="inlineStr">
        <is>
          <t>17.0%</t>
        </is>
      </c>
      <c r="C61" s="57" t="n">
        <v>1.7</v>
      </c>
      <c r="D61" s="57" t="n">
        <v>136</v>
      </c>
      <c r="E61" s="57" t="inlineStr">
        <is>
          <t>—</t>
        </is>
      </c>
      <c r="F61" s="58">
        <f>IFERROR(D61/E61,"—")</f>
        <v/>
      </c>
      <c r="G61" s="57" t="inlineStr">
        <is>
          <t>✅ تحقق</t>
        </is>
      </c>
    </row>
    <row r="62" ht="18" customHeight="1">
      <c r="A62" s="60" t="inlineStr">
        <is>
          <t xml:space="preserve">  ملخص سنوي: 2022: 0.50 ريال/سهم | 2023: 1.00 ريال/سهم | 2024: 1.33 ريال/سهم | 2025: 4.65 ريال/سهم</t>
        </is>
      </c>
    </row>
    <row r="64" ht="20" customHeight="1">
      <c r="A64" s="54" t="inlineStr">
        <is>
          <t xml:space="preserve">  المواساة (4002) — رعاية صحية  توزيع سنوي ثابت منذ الإدراج</t>
        </is>
      </c>
    </row>
    <row r="65" ht="22" customHeight="1">
      <c r="A65" s="55" t="inlineStr">
        <is>
          <t>الفترة</t>
        </is>
      </c>
      <c r="B65" s="55" t="inlineStr">
        <is>
          <t>النسبة %</t>
        </is>
      </c>
      <c r="C65" s="55" t="inlineStr">
        <is>
          <t>توزيع/سهم (ريال)</t>
        </is>
      </c>
      <c r="D65" s="55" t="inlineStr">
        <is>
          <t>إجمالي التوزيع (م.ريال)</t>
        </is>
      </c>
      <c r="E65" s="55" t="inlineStr">
        <is>
          <t>صافي الربح المقارن (م.ريال)</t>
        </is>
      </c>
      <c r="F65" s="55" t="inlineStr">
        <is>
          <t>نسبة التوزيع %</t>
        </is>
      </c>
      <c r="G65" s="55" t="inlineStr">
        <is>
          <t>ملاحظة</t>
        </is>
      </c>
    </row>
    <row r="66" ht="18" customHeight="1">
      <c r="A66" s="56" t="inlineStr">
        <is>
          <t>2020</t>
        </is>
      </c>
      <c r="B66" s="57" t="inlineStr">
        <is>
          <t>10.0%</t>
        </is>
      </c>
      <c r="C66" s="57" t="n">
        <v>1</v>
      </c>
      <c r="D66" s="57" t="n">
        <v>200</v>
      </c>
      <c r="E66" s="57" t="inlineStr">
        <is>
          <t>—</t>
        </is>
      </c>
      <c r="F66" s="58">
        <f>IFERROR(D66/E66,"—")</f>
        <v/>
      </c>
      <c r="G66" s="57" t="inlineStr"/>
    </row>
    <row r="67" ht="18" customHeight="1">
      <c r="A67" s="56" t="inlineStr">
        <is>
          <t>2021</t>
        </is>
      </c>
      <c r="B67" s="57" t="inlineStr">
        <is>
          <t>12.5%</t>
        </is>
      </c>
      <c r="C67" s="57" t="n">
        <v>1.25</v>
      </c>
      <c r="D67" s="57" t="n">
        <v>250</v>
      </c>
      <c r="E67" s="57" t="n">
        <v>520</v>
      </c>
      <c r="F67" s="59">
        <f>IFERROR(D67/E67,"—")</f>
        <v/>
      </c>
      <c r="G67" s="57" t="inlineStr"/>
    </row>
    <row r="68" ht="18" customHeight="1">
      <c r="A68" s="56" t="inlineStr">
        <is>
          <t>2022</t>
        </is>
      </c>
      <c r="B68" s="57" t="inlineStr">
        <is>
          <t>30.0%</t>
        </is>
      </c>
      <c r="C68" s="57" t="n">
        <v>3</v>
      </c>
      <c r="D68" s="57" t="n">
        <v>600</v>
      </c>
      <c r="E68" s="57" t="n">
        <v>680</v>
      </c>
      <c r="F68" s="61">
        <f>IFERROR(D68/E68,"—")</f>
        <v/>
      </c>
      <c r="G68" s="57" t="inlineStr">
        <is>
          <t>توزيع استثنائي مرتفع</t>
        </is>
      </c>
    </row>
    <row r="69" ht="18" customHeight="1">
      <c r="A69" s="56" t="inlineStr">
        <is>
          <t>2023</t>
        </is>
      </c>
      <c r="B69" s="57" t="inlineStr">
        <is>
          <t>17.5%</t>
        </is>
      </c>
      <c r="C69" s="57" t="n">
        <v>1.75</v>
      </c>
      <c r="D69" s="57" t="n">
        <v>350</v>
      </c>
      <c r="E69" s="57" t="n">
        <v>658</v>
      </c>
      <c r="F69" s="59">
        <f>IFERROR(D69/E69,"—")</f>
        <v/>
      </c>
      <c r="G69" s="57" t="inlineStr"/>
    </row>
    <row r="70" ht="18" customHeight="1">
      <c r="A70" s="56" t="inlineStr">
        <is>
          <t>2024</t>
        </is>
      </c>
      <c r="B70" s="57" t="inlineStr">
        <is>
          <t>20.0%</t>
        </is>
      </c>
      <c r="C70" s="57" t="n">
        <v>2</v>
      </c>
      <c r="D70" s="57" t="n">
        <v>400</v>
      </c>
      <c r="E70" s="57" t="n">
        <v>646</v>
      </c>
      <c r="F70" s="59">
        <f>IFERROR(D70/E70,"—")</f>
        <v/>
      </c>
      <c r="G70" s="57" t="inlineStr"/>
    </row>
    <row r="71" ht="18" customHeight="1">
      <c r="A71" s="56" t="inlineStr">
        <is>
          <t>H2 2025</t>
        </is>
      </c>
      <c r="B71" s="57" t="inlineStr">
        <is>
          <t>11.25%</t>
        </is>
      </c>
      <c r="C71" s="57" t="n">
        <v>1.125</v>
      </c>
      <c r="D71" s="57" t="n">
        <v>225</v>
      </c>
      <c r="E71" s="57" t="inlineStr">
        <is>
          <t>—</t>
        </is>
      </c>
      <c r="F71" s="58">
        <f>IFERROR(D71/E71,"—")</f>
        <v/>
      </c>
      <c r="G71" s="57" t="inlineStr">
        <is>
          <t>نصف سنوي</t>
        </is>
      </c>
    </row>
    <row r="72" ht="18" customHeight="1">
      <c r="A72" s="60" t="inlineStr">
        <is>
          <t xml:space="preserve">  ملخص سنوي: 2020: 1.00 ريال/سهم | 2021: 1.25 ريال/سهم | 2022: 3.00 ريال/سهم | 2023: 1.75 ريال/سهم | 2024: 2.00 ريال/سهم | 2025: 1.12 ريال/سهم</t>
        </is>
      </c>
    </row>
    <row r="74" ht="20" customHeight="1">
      <c r="A74" s="54" t="inlineStr">
        <is>
          <t xml:space="preserve">  بدجت (4260) — خدمات استهلاكية  ⚠ انخفاض أرباح Q1 2026 بنسبة 58% - يستوجب مراقبة</t>
        </is>
      </c>
    </row>
    <row r="75" ht="22" customHeight="1">
      <c r="A75" s="55" t="inlineStr">
        <is>
          <t>الفترة</t>
        </is>
      </c>
      <c r="B75" s="55" t="inlineStr">
        <is>
          <t>النسبة %</t>
        </is>
      </c>
      <c r="C75" s="55" t="inlineStr">
        <is>
          <t>توزيع/سهم (ريال)</t>
        </is>
      </c>
      <c r="D75" s="55" t="inlineStr">
        <is>
          <t>إجمالي التوزيع (م.ريال)</t>
        </is>
      </c>
      <c r="E75" s="55" t="inlineStr">
        <is>
          <t>صافي الربح المقارن (م.ريال)</t>
        </is>
      </c>
      <c r="F75" s="55" t="inlineStr">
        <is>
          <t>نسبة التوزيع %</t>
        </is>
      </c>
      <c r="G75" s="55" t="inlineStr">
        <is>
          <t>ملاحظة</t>
        </is>
      </c>
    </row>
    <row r="76" ht="18" customHeight="1">
      <c r="A76" s="56" t="inlineStr">
        <is>
          <t>H2 2021</t>
        </is>
      </c>
      <c r="B76" s="57" t="inlineStr">
        <is>
          <t>5.0%</t>
        </is>
      </c>
      <c r="C76" s="57" t="n">
        <v>0.5</v>
      </c>
      <c r="D76" s="57" t="n">
        <v>50</v>
      </c>
      <c r="E76" s="57" t="n">
        <v>185</v>
      </c>
      <c r="F76" s="59">
        <f>IFERROR(D76/E76,"—")</f>
        <v/>
      </c>
      <c r="G76" s="57" t="inlineStr"/>
    </row>
    <row r="77" ht="18" customHeight="1">
      <c r="A77" s="56" t="inlineStr">
        <is>
          <t>H1 2022</t>
        </is>
      </c>
      <c r="B77" s="57" t="inlineStr">
        <is>
          <t>5.0%</t>
        </is>
      </c>
      <c r="C77" s="57" t="n">
        <v>0.5</v>
      </c>
      <c r="D77" s="57" t="n">
        <v>50</v>
      </c>
      <c r="E77" s="57" t="n">
        <v>240</v>
      </c>
      <c r="F77" s="59">
        <f>IFERROR(D77/E77,"—")</f>
        <v/>
      </c>
      <c r="G77" s="57" t="inlineStr"/>
    </row>
    <row r="78" ht="18" customHeight="1">
      <c r="A78" s="56" t="inlineStr">
        <is>
          <t>H2 2022</t>
        </is>
      </c>
      <c r="B78" s="57" t="inlineStr">
        <is>
          <t>5.0%</t>
        </is>
      </c>
      <c r="C78" s="57" t="n">
        <v>0.5</v>
      </c>
      <c r="D78" s="57" t="n">
        <v>50</v>
      </c>
      <c r="E78" s="57" t="n">
        <v>240</v>
      </c>
      <c r="F78" s="59">
        <f>IFERROR(D78/E78,"—")</f>
        <v/>
      </c>
      <c r="G78" s="57" t="inlineStr"/>
    </row>
    <row r="79" ht="18" customHeight="1">
      <c r="A79" s="56" t="inlineStr">
        <is>
          <t>H1 2023</t>
        </is>
      </c>
      <c r="B79" s="57" t="inlineStr">
        <is>
          <t>5.0%</t>
        </is>
      </c>
      <c r="C79" s="57" t="n">
        <v>0.5</v>
      </c>
      <c r="D79" s="57" t="n">
        <v>50</v>
      </c>
      <c r="E79" s="57" t="n">
        <v>277</v>
      </c>
      <c r="F79" s="59">
        <f>IFERROR(D79/E79,"—")</f>
        <v/>
      </c>
      <c r="G79" s="57" t="inlineStr">
        <is>
          <t>✅ تحقق: أغسطس 2023</t>
        </is>
      </c>
    </row>
    <row r="80" ht="18" customHeight="1">
      <c r="A80" s="56" t="inlineStr">
        <is>
          <t>H2 2023</t>
        </is>
      </c>
      <c r="B80" s="57" t="inlineStr">
        <is>
          <t>10.0%</t>
        </is>
      </c>
      <c r="C80" s="57" t="n">
        <v>1</v>
      </c>
      <c r="D80" s="57" t="n">
        <v>100</v>
      </c>
      <c r="E80" s="57" t="n">
        <v>277</v>
      </c>
      <c r="F80" s="59">
        <f>IFERROR(D80/E80,"—")</f>
        <v/>
      </c>
      <c r="G80" s="57" t="inlineStr">
        <is>
          <t>✅ تحقق: مايو 2024 من أرباح FY2023</t>
        </is>
      </c>
    </row>
    <row r="81" ht="18" customHeight="1">
      <c r="A81" s="56" t="inlineStr">
        <is>
          <t>H1 2024</t>
        </is>
      </c>
      <c r="B81" s="57" t="inlineStr">
        <is>
          <t>4.5%</t>
        </is>
      </c>
      <c r="C81" s="57" t="n">
        <v>0.45</v>
      </c>
      <c r="D81" s="57" t="n">
        <v>45</v>
      </c>
      <c r="E81" s="57" t="n">
        <v>312</v>
      </c>
      <c r="F81" s="59">
        <f>IFERROR(D81/E81,"—")</f>
        <v/>
      </c>
      <c r="G81" s="57" t="inlineStr">
        <is>
          <t>✅ تحقق: أغسطس 2024</t>
        </is>
      </c>
    </row>
    <row r="82" ht="18" customHeight="1">
      <c r="A82" s="56" t="inlineStr">
        <is>
          <t>H2 2024</t>
        </is>
      </c>
      <c r="B82" s="57" t="inlineStr">
        <is>
          <t>10.0%</t>
        </is>
      </c>
      <c r="C82" s="57" t="n">
        <v>1</v>
      </c>
      <c r="D82" s="57" t="n">
        <v>100</v>
      </c>
      <c r="E82" s="57" t="n">
        <v>312</v>
      </c>
      <c r="F82" s="59">
        <f>IFERROR(D82/E82,"—")</f>
        <v/>
      </c>
      <c r="G82" s="57" t="inlineStr">
        <is>
          <t>✅ تحقق: مايو 2025 من أرباح FY2024</t>
        </is>
      </c>
    </row>
    <row r="83" ht="18" customHeight="1">
      <c r="A83" s="56" t="inlineStr">
        <is>
          <t>H1 2025</t>
        </is>
      </c>
      <c r="B83" s="57" t="inlineStr">
        <is>
          <t>5.0%</t>
        </is>
      </c>
      <c r="C83" s="57" t="n">
        <v>0.5</v>
      </c>
      <c r="D83" s="57" t="n">
        <v>50</v>
      </c>
      <c r="E83" s="57" t="inlineStr">
        <is>
          <t>—</t>
        </is>
      </c>
      <c r="F83" s="58">
        <f>IFERROR(D83/E83,"—")</f>
        <v/>
      </c>
      <c r="G83" s="57" t="inlineStr"/>
    </row>
    <row r="84" ht="18" customHeight="1">
      <c r="A84" s="60" t="inlineStr">
        <is>
          <t xml:space="preserve">  ملخص سنوي: 2021: 0.50 ريال/سهم | 2022: 1.00 ريال/سهم | 2023: 1.50 ريال/سهم | 2024: 1.45 ريال/سهم | 2025: 0.50 ريال/سهم</t>
        </is>
      </c>
    </row>
    <row r="86" ht="20" customHeight="1">
      <c r="A86" s="54" t="inlineStr">
        <is>
          <t xml:space="preserve">  اكسترا (4003) — تجزئة  ✅ توزيع استثنائي أغسطس 2024: 5 ريال/سهم من الاحتياطيات | ربح FY2024: 534.5M ريال</t>
        </is>
      </c>
    </row>
    <row r="87" ht="22" customHeight="1">
      <c r="A87" s="55" t="inlineStr">
        <is>
          <t>الفترة</t>
        </is>
      </c>
      <c r="B87" s="55" t="inlineStr">
        <is>
          <t>النسبة %</t>
        </is>
      </c>
      <c r="C87" s="55" t="inlineStr">
        <is>
          <t>توزيع/سهم (ريال)</t>
        </is>
      </c>
      <c r="D87" s="55" t="inlineStr">
        <is>
          <t>إجمالي التوزيع (م.ريال)</t>
        </is>
      </c>
      <c r="E87" s="55" t="inlineStr">
        <is>
          <t>صافي الربح المقارن (م.ريال)</t>
        </is>
      </c>
      <c r="F87" s="55" t="inlineStr">
        <is>
          <t>نسبة التوزيع %</t>
        </is>
      </c>
      <c r="G87" s="55" t="inlineStr">
        <is>
          <t>ملاحظة</t>
        </is>
      </c>
    </row>
    <row r="88" ht="18" customHeight="1">
      <c r="A88" s="56" t="inlineStr">
        <is>
          <t>H1 2021</t>
        </is>
      </c>
      <c r="B88" s="57" t="inlineStr">
        <is>
          <t>10.0%</t>
        </is>
      </c>
      <c r="C88" s="57" t="n">
        <v>1</v>
      </c>
      <c r="D88" s="57" t="n">
        <v>80</v>
      </c>
      <c r="E88" s="57" t="n">
        <v>280</v>
      </c>
      <c r="F88" s="59">
        <f>IFERROR(D88/E88,"—")</f>
        <v/>
      </c>
      <c r="G88" s="57" t="inlineStr"/>
    </row>
    <row r="89" ht="18" customHeight="1">
      <c r="A89" s="56" t="inlineStr">
        <is>
          <t>H2 2021</t>
        </is>
      </c>
      <c r="B89" s="57" t="inlineStr">
        <is>
          <t>10.0%</t>
        </is>
      </c>
      <c r="C89" s="57" t="n">
        <v>1</v>
      </c>
      <c r="D89" s="57" t="n">
        <v>80</v>
      </c>
      <c r="E89" s="57" t="n">
        <v>280</v>
      </c>
      <c r="F89" s="59">
        <f>IFERROR(D89/E89,"—")</f>
        <v/>
      </c>
      <c r="G89" s="57" t="inlineStr"/>
    </row>
    <row r="90" ht="18" customHeight="1">
      <c r="A90" s="56" t="inlineStr">
        <is>
          <t>H1 2022</t>
        </is>
      </c>
      <c r="B90" s="57" t="inlineStr">
        <is>
          <t>15.0%</t>
        </is>
      </c>
      <c r="C90" s="57" t="n">
        <v>1.5</v>
      </c>
      <c r="D90" s="57" t="n">
        <v>120</v>
      </c>
      <c r="E90" s="57" t="n">
        <v>340</v>
      </c>
      <c r="F90" s="59">
        <f>IFERROR(D90/E90,"—")</f>
        <v/>
      </c>
      <c r="G90" s="57" t="inlineStr"/>
    </row>
    <row r="91" ht="18" customHeight="1">
      <c r="A91" s="56" t="inlineStr">
        <is>
          <t>H2 2022</t>
        </is>
      </c>
      <c r="B91" s="57" t="inlineStr">
        <is>
          <t>15.0%</t>
        </is>
      </c>
      <c r="C91" s="57" t="n">
        <v>1.5</v>
      </c>
      <c r="D91" s="57" t="n">
        <v>120</v>
      </c>
      <c r="E91" s="57" t="n">
        <v>340</v>
      </c>
      <c r="F91" s="59">
        <f>IFERROR(D91/E91,"—")</f>
        <v/>
      </c>
      <c r="G91" s="57" t="inlineStr"/>
    </row>
    <row r="92" ht="18" customHeight="1">
      <c r="A92" s="56" t="inlineStr">
        <is>
          <t>H1 2023</t>
        </is>
      </c>
      <c r="B92" s="57" t="inlineStr">
        <is>
          <t>15.0%</t>
        </is>
      </c>
      <c r="C92" s="57" t="n">
        <v>1.5</v>
      </c>
      <c r="D92" s="57" t="n">
        <v>120</v>
      </c>
      <c r="E92" s="57" t="n">
        <v>390</v>
      </c>
      <c r="F92" s="59">
        <f>IFERROR(D92/E92,"—")</f>
        <v/>
      </c>
      <c r="G92" s="57" t="inlineStr"/>
    </row>
    <row r="93" ht="18" customHeight="1">
      <c r="A93" s="56" t="inlineStr">
        <is>
          <t>H2 2023</t>
        </is>
      </c>
      <c r="B93" s="57" t="inlineStr">
        <is>
          <t>15.0%</t>
        </is>
      </c>
      <c r="C93" s="57" t="n">
        <v>1.5</v>
      </c>
      <c r="D93" s="57" t="n">
        <v>120</v>
      </c>
      <c r="E93" s="57" t="n">
        <v>390</v>
      </c>
      <c r="F93" s="59">
        <f>IFERROR(D93/E93,"—")</f>
        <v/>
      </c>
      <c r="G93" s="57" t="inlineStr"/>
    </row>
    <row r="94" ht="18" customHeight="1">
      <c r="A94" s="56" t="inlineStr">
        <is>
          <t>H1 2024</t>
        </is>
      </c>
      <c r="B94" s="57" t="inlineStr">
        <is>
          <t>20.0%</t>
        </is>
      </c>
      <c r="C94" s="57" t="n">
        <v>2</v>
      </c>
      <c r="D94" s="57" t="n">
        <v>160</v>
      </c>
      <c r="E94" s="57" t="n">
        <v>534</v>
      </c>
      <c r="F94" s="59">
        <f>IFERROR(D94/E94,"—")</f>
        <v/>
      </c>
      <c r="G94" s="57" t="inlineStr"/>
    </row>
    <row r="95" ht="18" customHeight="1">
      <c r="A95" s="56" t="inlineStr">
        <is>
          <t>H1 2024 استثنائي</t>
        </is>
      </c>
      <c r="B95" s="57" t="inlineStr">
        <is>
          <t>50.0%</t>
        </is>
      </c>
      <c r="C95" s="57" t="n">
        <v>5</v>
      </c>
      <c r="D95" s="57" t="n">
        <v>400</v>
      </c>
      <c r="E95" s="57" t="n">
        <v>534</v>
      </c>
      <c r="F95" s="59">
        <f>IFERROR(D95/E95,"—")</f>
        <v/>
      </c>
      <c r="G95" s="57" t="inlineStr">
        <is>
          <t>✅ تحقق: توزيع استثنائي أغسطس 2024 من الاحتياطيات</t>
        </is>
      </c>
    </row>
    <row r="96" ht="18" customHeight="1">
      <c r="A96" s="56" t="inlineStr">
        <is>
          <t>H2 2024</t>
        </is>
      </c>
      <c r="B96" s="57" t="inlineStr">
        <is>
          <t>30.0%</t>
        </is>
      </c>
      <c r="C96" s="57" t="n">
        <v>3</v>
      </c>
      <c r="D96" s="57" t="n">
        <v>240</v>
      </c>
      <c r="E96" s="57" t="n">
        <v>534</v>
      </c>
      <c r="F96" s="59">
        <f>IFERROR(D96/E96,"—")</f>
        <v/>
      </c>
      <c r="G96" s="57" t="inlineStr">
        <is>
          <t>✅ تحقق</t>
        </is>
      </c>
    </row>
    <row r="97" ht="18" customHeight="1">
      <c r="A97" s="56" t="inlineStr">
        <is>
          <t>H1 2025</t>
        </is>
      </c>
      <c r="B97" s="57" t="inlineStr">
        <is>
          <t>20.0%</t>
        </is>
      </c>
      <c r="C97" s="57" t="n">
        <v>2</v>
      </c>
      <c r="D97" s="57" t="n">
        <v>160</v>
      </c>
      <c r="E97" s="57" t="inlineStr">
        <is>
          <t>—</t>
        </is>
      </c>
      <c r="F97" s="58">
        <f>IFERROR(D97/E97,"—")</f>
        <v/>
      </c>
      <c r="G97" s="57" t="inlineStr"/>
    </row>
    <row r="98" ht="18" customHeight="1">
      <c r="A98" s="60" t="inlineStr">
        <is>
          <t xml:space="preserve">  ملخص سنوي: 2021: 2.00 ريال/سهم | 2022: 3.00 ريال/سهم | 2023: 3.00 ريال/سهم | 2024: 10.00 ريال/سهم | 2025: 2.00 ريال/سهم</t>
        </is>
      </c>
    </row>
    <row r="100" ht="20" customHeight="1">
      <c r="A100" s="54" t="inlineStr">
        <is>
          <t xml:space="preserve">  المتقدمة (2330) — بتروكيماويات  ⚠ لا توزيعات 2023-2024 بسبب الخسارة | العودة للربحية Q1 2025</t>
        </is>
      </c>
    </row>
    <row r="101" ht="22" customHeight="1">
      <c r="A101" s="55" t="inlineStr">
        <is>
          <t>الفترة</t>
        </is>
      </c>
      <c r="B101" s="55" t="inlineStr">
        <is>
          <t>النسبة %</t>
        </is>
      </c>
      <c r="C101" s="55" t="inlineStr">
        <is>
          <t>توزيع/سهم (ريال)</t>
        </is>
      </c>
      <c r="D101" s="55" t="inlineStr">
        <is>
          <t>إجمالي التوزيع (م.ريال)</t>
        </is>
      </c>
      <c r="E101" s="55" t="inlineStr">
        <is>
          <t>صافي الربح المقارن (م.ريال)</t>
        </is>
      </c>
      <c r="F101" s="55" t="inlineStr">
        <is>
          <t>نسبة التوزيع %</t>
        </is>
      </c>
      <c r="G101" s="55" t="inlineStr">
        <is>
          <t>ملاحظة</t>
        </is>
      </c>
    </row>
    <row r="102" ht="18" customHeight="1">
      <c r="A102" s="56" t="inlineStr">
        <is>
          <t>Q2 2022</t>
        </is>
      </c>
      <c r="B102" s="57" t="inlineStr">
        <is>
          <t>4.0%</t>
        </is>
      </c>
      <c r="C102" s="57" t="n">
        <v>0.4</v>
      </c>
      <c r="D102" s="57" t="n">
        <v>50</v>
      </c>
      <c r="E102" s="57" t="n">
        <v>320</v>
      </c>
      <c r="F102" s="59">
        <f>IFERROR(D102/E102,"—")</f>
        <v/>
      </c>
      <c r="G102" s="57" t="inlineStr"/>
    </row>
    <row r="103" ht="18" customHeight="1">
      <c r="A103" s="56" t="inlineStr">
        <is>
          <t>Q4 2022</t>
        </is>
      </c>
      <c r="B103" s="57" t="inlineStr">
        <is>
          <t>4.0%</t>
        </is>
      </c>
      <c r="C103" s="57" t="n">
        <v>0.4</v>
      </c>
      <c r="D103" s="57" t="n">
        <v>50</v>
      </c>
      <c r="E103" s="57" t="n">
        <v>320</v>
      </c>
      <c r="F103" s="59">
        <f>IFERROR(D103/E103,"—")</f>
        <v/>
      </c>
      <c r="G103" s="57" t="inlineStr"/>
    </row>
    <row r="104" ht="18" customHeight="1">
      <c r="A104" s="62" t="inlineStr">
        <is>
          <t>2023</t>
        </is>
      </c>
      <c r="B104" s="63" t="inlineStr">
        <is>
          <t>لا توزيع</t>
        </is>
      </c>
      <c r="C104" s="63" t="n">
        <v>0</v>
      </c>
      <c r="D104" s="63" t="inlineStr">
        <is>
          <t>—</t>
        </is>
      </c>
      <c r="E104" s="63" t="n">
        <v>85</v>
      </c>
      <c r="F104" s="64">
        <f>IFERROR(D104/E104,"—")</f>
        <v/>
      </c>
      <c r="G104" s="63" t="inlineStr">
        <is>
          <t>خسارة</t>
        </is>
      </c>
    </row>
    <row r="105" ht="18" customHeight="1">
      <c r="A105" s="62" t="inlineStr">
        <is>
          <t>2024</t>
        </is>
      </c>
      <c r="B105" s="63" t="inlineStr">
        <is>
          <t>لا توزيع</t>
        </is>
      </c>
      <c r="C105" s="63" t="n">
        <v>0</v>
      </c>
      <c r="D105" s="63" t="inlineStr">
        <is>
          <t>—</t>
        </is>
      </c>
      <c r="E105" s="63" t="n">
        <v>-259</v>
      </c>
      <c r="F105" s="64">
        <f>IFERROR(D105/E105,"—")</f>
        <v/>
      </c>
      <c r="G105" s="63" t="inlineStr">
        <is>
          <t>خسارة</t>
        </is>
      </c>
    </row>
    <row r="106" ht="18" customHeight="1">
      <c r="A106" s="65" t="inlineStr">
        <is>
          <t>2025</t>
        </is>
      </c>
      <c r="B106" s="66" t="inlineStr">
        <is>
          <t>مفوض*</t>
        </is>
      </c>
      <c r="C106" s="66" t="inlineStr">
        <is>
          <t>—</t>
        </is>
      </c>
      <c r="D106" s="66" t="inlineStr">
        <is>
          <t>—</t>
        </is>
      </c>
      <c r="E106" s="66" t="inlineStr">
        <is>
          <t>—</t>
        </is>
      </c>
      <c r="F106" s="67">
        <f>IFERROR(D106/E106,"—")</f>
        <v/>
      </c>
      <c r="G106" s="66" t="inlineStr">
        <is>
          <t>الجمعية فوضت مجلس الإدارة</t>
        </is>
      </c>
    </row>
    <row r="107" ht="18" customHeight="1">
      <c r="A107" s="60" t="inlineStr">
        <is>
          <t xml:space="preserve">  ملخص سنوي: 2022: 0.80 ريال/سهم</t>
        </is>
      </c>
    </row>
    <row r="109" ht="20" customHeight="1">
      <c r="A109" s="54" t="inlineStr">
        <is>
          <t xml:space="preserve">  بنيان ريت (4340) — صندوق عقاري (REIT)  توزيع نصف سنوي إلزامي ≥90% من الدخل الصافي</t>
        </is>
      </c>
    </row>
    <row r="110" ht="22" customHeight="1">
      <c r="A110" s="55" t="inlineStr">
        <is>
          <t>الفترة</t>
        </is>
      </c>
      <c r="B110" s="55" t="inlineStr">
        <is>
          <t>النسبة %</t>
        </is>
      </c>
      <c r="C110" s="55" t="inlineStr">
        <is>
          <t>توزيع/سهم (ريال)</t>
        </is>
      </c>
      <c r="D110" s="55" t="inlineStr">
        <is>
          <t>إجمالي التوزيع (م.ريال)</t>
        </is>
      </c>
      <c r="E110" s="55" t="inlineStr">
        <is>
          <t>صافي الربح المقارن (م.ريال)</t>
        </is>
      </c>
      <c r="F110" s="55" t="inlineStr">
        <is>
          <t>نسبة التوزيع %</t>
        </is>
      </c>
      <c r="G110" s="55" t="inlineStr">
        <is>
          <t>ملاحظة</t>
        </is>
      </c>
    </row>
    <row r="111" ht="18" customHeight="1">
      <c r="A111" s="56" t="inlineStr">
        <is>
          <t>مايو-أكتوبر 2022</t>
        </is>
      </c>
      <c r="B111" s="57" t="inlineStr">
        <is>
          <t>3.0%</t>
        </is>
      </c>
      <c r="C111" s="57" t="n">
        <v>0.3</v>
      </c>
      <c r="D111" s="57" t="n">
        <v>48.9</v>
      </c>
      <c r="E111" s="57" t="n">
        <v>95</v>
      </c>
      <c r="F111" s="59">
        <f>IFERROR(D111/E111,"—")</f>
        <v/>
      </c>
      <c r="G111" s="57" t="inlineStr"/>
    </row>
    <row r="112" ht="18" customHeight="1">
      <c r="A112" s="56" t="inlineStr">
        <is>
          <t>نوف 2022 - أبريل 2023</t>
        </is>
      </c>
      <c r="B112" s="57" t="inlineStr">
        <is>
          <t>3.0%</t>
        </is>
      </c>
      <c r="C112" s="57" t="n">
        <v>0.3</v>
      </c>
      <c r="D112" s="57" t="n">
        <v>48.9</v>
      </c>
      <c r="E112" s="57" t="n">
        <v>95</v>
      </c>
      <c r="F112" s="59">
        <f>IFERROR(D112/E112,"—")</f>
        <v/>
      </c>
      <c r="G112" s="57" t="inlineStr"/>
    </row>
    <row r="113" ht="18" customHeight="1">
      <c r="A113" s="56" t="inlineStr">
        <is>
          <t>مايو-أكتوبر 2023</t>
        </is>
      </c>
      <c r="B113" s="57" t="inlineStr">
        <is>
          <t>3.2%</t>
        </is>
      </c>
      <c r="C113" s="57" t="n">
        <v>0.32</v>
      </c>
      <c r="D113" s="57" t="n">
        <v>52.2</v>
      </c>
      <c r="E113" s="57" t="n">
        <v>105</v>
      </c>
      <c r="F113" s="59">
        <f>IFERROR(D113/E113,"—")</f>
        <v/>
      </c>
      <c r="G113" s="57" t="inlineStr"/>
    </row>
    <row r="114" ht="18" customHeight="1">
      <c r="A114" s="56" t="inlineStr">
        <is>
          <t>نوف 2023 - أبريل 2024</t>
        </is>
      </c>
      <c r="B114" s="57" t="inlineStr">
        <is>
          <t>3.2%</t>
        </is>
      </c>
      <c r="C114" s="57" t="n">
        <v>0.32</v>
      </c>
      <c r="D114" s="57" t="n">
        <v>52.2</v>
      </c>
      <c r="E114" s="57" t="n">
        <v>105</v>
      </c>
      <c r="F114" s="59">
        <f>IFERROR(D114/E114,"—")</f>
        <v/>
      </c>
      <c r="G114" s="57" t="inlineStr"/>
    </row>
    <row r="115" ht="18" customHeight="1">
      <c r="A115" s="56" t="inlineStr">
        <is>
          <t>مايو-أكتوبر 2024</t>
        </is>
      </c>
      <c r="B115" s="57" t="inlineStr">
        <is>
          <t>3.4%</t>
        </is>
      </c>
      <c r="C115" s="57" t="n">
        <v>0.34</v>
      </c>
      <c r="D115" s="57" t="n">
        <v>55.4</v>
      </c>
      <c r="E115" s="57" t="n">
        <v>118</v>
      </c>
      <c r="F115" s="59">
        <f>IFERROR(D115/E115,"—")</f>
        <v/>
      </c>
      <c r="G115" s="57" t="inlineStr"/>
    </row>
    <row r="116" ht="18" customHeight="1">
      <c r="A116" s="56" t="inlineStr">
        <is>
          <t>نوف 2024 - أبريل 2025</t>
        </is>
      </c>
      <c r="B116" s="57" t="inlineStr">
        <is>
          <t>3.7%</t>
        </is>
      </c>
      <c r="C116" s="57" t="n">
        <v>0.37</v>
      </c>
      <c r="D116" s="57" t="n">
        <v>60.3</v>
      </c>
      <c r="E116" s="57" t="n">
        <v>118</v>
      </c>
      <c r="F116" s="59">
        <f>IFERROR(D116/E116,"—")</f>
        <v/>
      </c>
      <c r="G116" s="57" t="inlineStr"/>
    </row>
    <row r="117" ht="18" customHeight="1">
      <c r="A117" s="56" t="inlineStr">
        <is>
          <t>مايو-أكتوبر 2025</t>
        </is>
      </c>
      <c r="B117" s="57" t="inlineStr">
        <is>
          <t>4.0%</t>
        </is>
      </c>
      <c r="C117" s="57" t="n">
        <v>0.4</v>
      </c>
      <c r="D117" s="57" t="n">
        <v>65.2</v>
      </c>
      <c r="E117" s="57" t="inlineStr">
        <is>
          <t>—</t>
        </is>
      </c>
      <c r="F117" s="58">
        <f>IFERROR(D117/E117,"—")</f>
        <v/>
      </c>
      <c r="G117" s="57" t="inlineStr"/>
    </row>
    <row r="118" ht="18" customHeight="1">
      <c r="A118" s="60" t="inlineStr">
        <is>
          <t xml:space="preserve">  ملخص سنوي: 2022: 0.60 ريال/سهم | 2023: 0.64 ريال/سهم | 2024: 0.71 ريال/سهم | 2025: 0.40 ريال/سهم</t>
        </is>
      </c>
    </row>
    <row r="121" ht="8" customHeight="1"/>
    <row r="122" ht="24" customHeight="1">
      <c r="A122" s="47" t="inlineStr">
        <is>
          <t>📖  مسرد المصطلحات والاختصارات المستخدمة في هذه الورقة</t>
        </is>
      </c>
    </row>
    <row r="123" ht="20" customHeight="1">
      <c r="A123" s="48" t="inlineStr">
        <is>
          <t>المصطلح / الاختصار</t>
        </is>
      </c>
      <c r="E123" s="48" t="inlineStr">
        <is>
          <t>الشرح والصيغة</t>
        </is>
      </c>
    </row>
    <row r="124" ht="18" customHeight="1">
      <c r="A124" s="49" t="inlineStr">
        <is>
          <t>DPS — توزيع السهم</t>
        </is>
      </c>
      <c r="E124" s="50" t="inlineStr">
        <is>
          <t>مبلغ التوزيع النقدي لكل سهم واحد بالريال السعودي</t>
        </is>
      </c>
    </row>
    <row r="125" ht="18" customHeight="1">
      <c r="A125" s="51" t="inlineStr">
        <is>
          <t>نسبة التوزيع%</t>
        </is>
      </c>
      <c r="E125" s="52" t="inlineStr">
        <is>
          <t>إجمالي التوزيع (م.) ÷ صافي الربح × 100  |  أقل من 80% مستدام  |  🟢 &lt;60%  🟡 60-80%  🔴 &gt;80%</t>
        </is>
      </c>
    </row>
    <row r="126" ht="18" customHeight="1">
      <c r="A126" s="49" t="inlineStr">
        <is>
          <t>H1 / H2</t>
        </is>
      </c>
      <c r="E126" s="50" t="inlineStr">
        <is>
          <t>النصف الأول / النصف الثاني من السنة</t>
        </is>
      </c>
    </row>
    <row r="127" ht="18" customHeight="1">
      <c r="A127" s="51" t="inlineStr">
        <is>
          <t>Q1 / Q2 / Q3 / Q4</t>
        </is>
      </c>
      <c r="E127" s="52" t="inlineStr">
        <is>
          <t>الربع الأول / الثاني / الثالث / الرابع من السنة</t>
        </is>
      </c>
    </row>
    <row r="128" ht="18" customHeight="1">
      <c r="A128" s="49" t="inlineStr">
        <is>
          <t>م. = مليون ريال</t>
        </is>
      </c>
      <c r="E128" s="50" t="inlineStr">
        <is>
          <t>وحدة قياس إجمالي التوزيعات وصافي الربح</t>
        </is>
      </c>
    </row>
    <row r="129" ht="18" customHeight="1">
      <c r="A129" s="51" t="inlineStr">
        <is>
          <t>⚠ قبل المنح</t>
        </is>
      </c>
      <c r="E129" s="52" t="inlineStr">
        <is>
          <t>تُطلب مراجعة هذا المبلغ بعد إصدار أسهم مجانية لتعديله بنسبة المنح</t>
        </is>
      </c>
    </row>
    <row r="130" ht="18" customHeight="1">
      <c r="A130" s="49" t="inlineStr">
        <is>
          <t>ملخص سنوي</t>
        </is>
      </c>
      <c r="E130" s="50" t="inlineStr">
        <is>
          <t>إجمالي التوزيعات النقدية للسهم الواحد خلال السنة الكاملة (جمع كل الفترات)</t>
        </is>
      </c>
    </row>
  </sheetData>
  <mergeCells count="36">
    <mergeCell ref="A32:G32"/>
    <mergeCell ref="A126:D126"/>
    <mergeCell ref="E128:G128"/>
    <mergeCell ref="A122:G122"/>
    <mergeCell ref="A109:G109"/>
    <mergeCell ref="A62:G62"/>
    <mergeCell ref="A100:G100"/>
    <mergeCell ref="A72:G72"/>
    <mergeCell ref="A52:G52"/>
    <mergeCell ref="A125:D125"/>
    <mergeCell ref="A127:D127"/>
    <mergeCell ref="A34:G34"/>
    <mergeCell ref="A130:D130"/>
    <mergeCell ref="A64:G64"/>
    <mergeCell ref="E124:G124"/>
    <mergeCell ref="A98:G98"/>
    <mergeCell ref="A107:G107"/>
    <mergeCell ref="A123:D123"/>
    <mergeCell ref="E125:G125"/>
    <mergeCell ref="A1:G1"/>
    <mergeCell ref="A124:D124"/>
    <mergeCell ref="A16:G16"/>
    <mergeCell ref="A54:G54"/>
    <mergeCell ref="A128:D128"/>
    <mergeCell ref="E130:G130"/>
    <mergeCell ref="E129:G129"/>
    <mergeCell ref="A84:G84"/>
    <mergeCell ref="A74:G74"/>
    <mergeCell ref="A118:G118"/>
    <mergeCell ref="A18:G18"/>
    <mergeCell ref="E127:G127"/>
    <mergeCell ref="E126:G126"/>
    <mergeCell ref="E123:G123"/>
    <mergeCell ref="A2:G2"/>
    <mergeCell ref="A86:G86"/>
    <mergeCell ref="A129:D1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3" t="inlineStr">
        <is>
          <t>القوائم المالية 2021-2024 (جميع الأرقام بالمليون ريال سعودي)</t>
        </is>
      </c>
    </row>
    <row r="2" ht="20" customHeight="1">
      <c r="A2" s="54" t="inlineStr">
        <is>
          <t xml:space="preserve">  الراجحي (1120) — مصرفي</t>
        </is>
      </c>
    </row>
    <row r="3" ht="22" customHeight="1">
      <c r="A3" s="68" t="inlineStr">
        <is>
          <t>البند</t>
        </is>
      </c>
      <c r="B3" s="68" t="inlineStr">
        <is>
          <t>2021</t>
        </is>
      </c>
      <c r="C3" s="68" t="inlineStr">
        <is>
          <t>2022</t>
        </is>
      </c>
      <c r="D3" s="68" t="inlineStr">
        <is>
          <t>2023</t>
        </is>
      </c>
      <c r="E3" s="68" t="inlineStr">
        <is>
          <t>2024</t>
        </is>
      </c>
      <c r="F3" s="69" t="inlineStr">
        <is>
          <t>CAGR 3Y</t>
        </is>
      </c>
      <c r="G3" s="69" t="inlineStr">
        <is>
          <t>نمو 2024/2023</t>
        </is>
      </c>
    </row>
    <row r="4" ht="18" customHeight="1">
      <c r="A4" s="70" t="inlineStr">
        <is>
          <t>الإيرادات</t>
        </is>
      </c>
      <c r="B4" s="71" t="n">
        <v>23500</v>
      </c>
      <c r="C4" s="71" t="n">
        <v>30100</v>
      </c>
      <c r="D4" s="71" t="n">
        <v>29800</v>
      </c>
      <c r="E4" s="71" t="n">
        <v>34200</v>
      </c>
      <c r="F4" s="72" t="inlineStr">
        <is>
          <t>13.3%</t>
        </is>
      </c>
      <c r="G4" s="72" t="inlineStr">
        <is>
          <t>+14.8%</t>
        </is>
      </c>
    </row>
    <row r="5" ht="18" customHeight="1">
      <c r="A5" s="73" t="inlineStr">
        <is>
          <t>صافي الربح</t>
        </is>
      </c>
      <c r="B5" s="74" t="n">
        <v>14979</v>
      </c>
      <c r="C5" s="74" t="n">
        <v>17151</v>
      </c>
      <c r="D5" s="74" t="n">
        <v>16621</v>
      </c>
      <c r="E5" s="74" t="n">
        <v>19722</v>
      </c>
      <c r="F5" s="75" t="inlineStr">
        <is>
          <t>9.6%</t>
        </is>
      </c>
      <c r="G5" s="75" t="inlineStr">
        <is>
          <t>+18.7%</t>
        </is>
      </c>
    </row>
    <row r="6" ht="18" customHeight="1">
      <c r="A6" s="76" t="inlineStr">
        <is>
          <t>التدفق النقدي التشغيلي</t>
        </is>
      </c>
      <c r="B6" s="77" t="n">
        <v>12000</v>
      </c>
      <c r="C6" s="77" t="n">
        <v>16000</v>
      </c>
      <c r="D6" s="77" t="n">
        <v>14500</v>
      </c>
      <c r="E6" s="77" t="n">
        <v>18500</v>
      </c>
      <c r="F6" s="78" t="inlineStr">
        <is>
          <t>15.5%</t>
        </is>
      </c>
      <c r="G6" s="78" t="inlineStr">
        <is>
          <t>+27.6%</t>
        </is>
      </c>
    </row>
    <row r="7" ht="18" customHeight="1">
      <c r="A7" s="76" t="inlineStr">
        <is>
          <t>حقوق المساهمين</t>
        </is>
      </c>
      <c r="B7" s="77" t="n">
        <v>62000</v>
      </c>
      <c r="C7" s="77" t="n">
        <v>72000</v>
      </c>
      <c r="D7" s="77" t="n">
        <v>90259</v>
      </c>
      <c r="E7" s="77" t="n">
        <v>100185</v>
      </c>
      <c r="F7" s="78" t="inlineStr">
        <is>
          <t>17.3%</t>
        </is>
      </c>
      <c r="G7" s="78" t="inlineStr">
        <is>
          <t>+11.0%</t>
        </is>
      </c>
    </row>
    <row r="9" ht="20" customHeight="1">
      <c r="A9" s="54" t="inlineStr">
        <is>
          <t xml:space="preserve">  الإنماء (1150) — مصرفي</t>
        </is>
      </c>
    </row>
    <row r="10" ht="22" customHeight="1">
      <c r="A10" s="68" t="inlineStr">
        <is>
          <t>البند</t>
        </is>
      </c>
      <c r="B10" s="68" t="inlineStr">
        <is>
          <t>2021</t>
        </is>
      </c>
      <c r="C10" s="68" t="inlineStr">
        <is>
          <t>2022</t>
        </is>
      </c>
      <c r="D10" s="68" t="inlineStr">
        <is>
          <t>2023</t>
        </is>
      </c>
      <c r="E10" s="68" t="inlineStr">
        <is>
          <t>2024</t>
        </is>
      </c>
      <c r="F10" s="69" t="inlineStr">
        <is>
          <t>CAGR 3Y</t>
        </is>
      </c>
      <c r="G10" s="69" t="inlineStr">
        <is>
          <t>نمو 2024/2023</t>
        </is>
      </c>
    </row>
    <row r="11" ht="18" customHeight="1">
      <c r="A11" s="70" t="inlineStr">
        <is>
          <t>الإيرادات</t>
        </is>
      </c>
      <c r="B11" s="71" t="n">
        <v>5500</v>
      </c>
      <c r="C11" s="71" t="n">
        <v>7200</v>
      </c>
      <c r="D11" s="71" t="n">
        <v>8700</v>
      </c>
      <c r="E11" s="71" t="n">
        <v>10200</v>
      </c>
      <c r="F11" s="72" t="inlineStr">
        <is>
          <t>22.9%</t>
        </is>
      </c>
      <c r="G11" s="72" t="inlineStr">
        <is>
          <t>+17.2%</t>
        </is>
      </c>
    </row>
    <row r="12" ht="18" customHeight="1">
      <c r="A12" s="73" t="inlineStr">
        <is>
          <t>صافي الربح</t>
        </is>
      </c>
      <c r="B12" s="74" t="n">
        <v>2714</v>
      </c>
      <c r="C12" s="74" t="n">
        <v>3599</v>
      </c>
      <c r="D12" s="74" t="n">
        <v>4839</v>
      </c>
      <c r="E12" s="74" t="n">
        <v>5832</v>
      </c>
      <c r="F12" s="75" t="inlineStr">
        <is>
          <t>29.0%</t>
        </is>
      </c>
      <c r="G12" s="75" t="inlineStr">
        <is>
          <t>+20.5%</t>
        </is>
      </c>
    </row>
    <row r="13" ht="18" customHeight="1">
      <c r="A13" s="76" t="inlineStr">
        <is>
          <t>التدفق النقدي التشغيلي</t>
        </is>
      </c>
      <c r="B13" s="77" t="n">
        <v>3000</v>
      </c>
      <c r="C13" s="77" t="n">
        <v>4200</v>
      </c>
      <c r="D13" s="77" t="n">
        <v>5500</v>
      </c>
      <c r="E13" s="77" t="n">
        <v>6800</v>
      </c>
      <c r="F13" s="78" t="inlineStr">
        <is>
          <t>31.4%</t>
        </is>
      </c>
      <c r="G13" s="78" t="inlineStr">
        <is>
          <t>+23.6%</t>
        </is>
      </c>
    </row>
    <row r="14" ht="18" customHeight="1">
      <c r="A14" s="76" t="inlineStr">
        <is>
          <t>حقوق المساهمين</t>
        </is>
      </c>
      <c r="B14" s="77" t="n">
        <v>18000</v>
      </c>
      <c r="C14" s="77" t="n">
        <v>21000</v>
      </c>
      <c r="D14" s="77" t="n">
        <v>25000</v>
      </c>
      <c r="E14" s="77" t="n">
        <v>29500</v>
      </c>
      <c r="F14" s="78" t="inlineStr">
        <is>
          <t>17.9%</t>
        </is>
      </c>
      <c r="G14" s="78" t="inlineStr">
        <is>
          <t>+18.0%</t>
        </is>
      </c>
    </row>
    <row r="16" ht="20" customHeight="1">
      <c r="A16" s="54" t="inlineStr">
        <is>
          <t xml:space="preserve">  STC (7010) — اتصالات</t>
        </is>
      </c>
    </row>
    <row r="17" ht="22" customHeight="1">
      <c r="A17" s="68" t="inlineStr">
        <is>
          <t>البند</t>
        </is>
      </c>
      <c r="B17" s="68" t="inlineStr">
        <is>
          <t>2021</t>
        </is>
      </c>
      <c r="C17" s="68" t="inlineStr">
        <is>
          <t>2022</t>
        </is>
      </c>
      <c r="D17" s="68" t="inlineStr">
        <is>
          <t>2023</t>
        </is>
      </c>
      <c r="E17" s="68" t="inlineStr">
        <is>
          <t>2024</t>
        </is>
      </c>
      <c r="F17" s="69" t="inlineStr">
        <is>
          <t>CAGR 3Y</t>
        </is>
      </c>
      <c r="G17" s="69" t="inlineStr">
        <is>
          <t>نمو 2024/2023</t>
        </is>
      </c>
    </row>
    <row r="18" ht="18" customHeight="1">
      <c r="A18" s="70" t="inlineStr">
        <is>
          <t>الإيرادات</t>
        </is>
      </c>
      <c r="B18" s="71" t="n">
        <v>63000</v>
      </c>
      <c r="C18" s="71" t="n">
        <v>67000</v>
      </c>
      <c r="D18" s="71" t="n">
        <v>71800</v>
      </c>
      <c r="E18" s="71" t="n">
        <v>75893</v>
      </c>
      <c r="F18" s="72" t="inlineStr">
        <is>
          <t>6.4%</t>
        </is>
      </c>
      <c r="G18" s="72" t="inlineStr">
        <is>
          <t>+5.7%</t>
        </is>
      </c>
    </row>
    <row r="19" ht="18" customHeight="1">
      <c r="A19" s="73" t="inlineStr">
        <is>
          <t>صافي الربح</t>
        </is>
      </c>
      <c r="B19" s="74" t="n">
        <v>11100</v>
      </c>
      <c r="C19" s="74" t="n">
        <v>12200</v>
      </c>
      <c r="D19" s="74" t="n">
        <v>13300</v>
      </c>
      <c r="E19" s="74" t="n">
        <v>24689</v>
      </c>
      <c r="F19" s="75" t="inlineStr">
        <is>
          <t>30.5%</t>
        </is>
      </c>
      <c r="G19" s="75" t="inlineStr">
        <is>
          <t>+85.6%</t>
        </is>
      </c>
    </row>
    <row r="20" ht="18" customHeight="1">
      <c r="A20" s="76" t="inlineStr">
        <is>
          <t>التدفق النقدي التشغيلي</t>
        </is>
      </c>
      <c r="B20" s="77" t="n">
        <v>18000</v>
      </c>
      <c r="C20" s="77" t="n">
        <v>20000</v>
      </c>
      <c r="D20" s="77" t="n">
        <v>22000</v>
      </c>
      <c r="E20" s="77" t="n">
        <v>24500</v>
      </c>
      <c r="F20" s="78" t="inlineStr">
        <is>
          <t>10.8%</t>
        </is>
      </c>
      <c r="G20" s="78" t="inlineStr">
        <is>
          <t>+11.4%</t>
        </is>
      </c>
    </row>
    <row r="21" ht="18" customHeight="1">
      <c r="A21" s="76" t="inlineStr">
        <is>
          <t>حقوق المساهمين</t>
        </is>
      </c>
      <c r="B21" s="77" t="n">
        <v>50000</v>
      </c>
      <c r="C21" s="77" t="n">
        <v>52000</v>
      </c>
      <c r="D21" s="77" t="n">
        <v>48000</v>
      </c>
      <c r="E21" s="77" t="n">
        <v>55000</v>
      </c>
      <c r="F21" s="79" t="inlineStr">
        <is>
          <t>3.2%</t>
        </is>
      </c>
      <c r="G21" s="78" t="inlineStr">
        <is>
          <t>+14.6%</t>
        </is>
      </c>
    </row>
    <row r="23" ht="20" customHeight="1">
      <c r="A23" s="54" t="inlineStr">
        <is>
          <t xml:space="preserve">  سال (4263) — لوجستيات</t>
        </is>
      </c>
    </row>
    <row r="24" ht="22" customHeight="1">
      <c r="A24" s="68" t="inlineStr">
        <is>
          <t>البند</t>
        </is>
      </c>
      <c r="B24" s="68" t="inlineStr">
        <is>
          <t>2021</t>
        </is>
      </c>
      <c r="C24" s="68" t="inlineStr">
        <is>
          <t>2022</t>
        </is>
      </c>
      <c r="D24" s="68" t="inlineStr">
        <is>
          <t>2023</t>
        </is>
      </c>
      <c r="E24" s="68" t="inlineStr">
        <is>
          <t>2024</t>
        </is>
      </c>
      <c r="F24" s="69" t="inlineStr">
        <is>
          <t>CAGR 3Y</t>
        </is>
      </c>
      <c r="G24" s="69" t="inlineStr">
        <is>
          <t>نمو 2024/2023</t>
        </is>
      </c>
    </row>
    <row r="25" ht="18" customHeight="1">
      <c r="A25" s="70" t="inlineStr">
        <is>
          <t>الإيرادات</t>
        </is>
      </c>
      <c r="B25" s="71" t="n">
        <v>900</v>
      </c>
      <c r="C25" s="71" t="n">
        <v>1100</v>
      </c>
      <c r="D25" s="71" t="n">
        <v>1452</v>
      </c>
      <c r="E25" s="71" t="n">
        <v>1630</v>
      </c>
      <c r="F25" s="72" t="inlineStr">
        <is>
          <t>21.9%</t>
        </is>
      </c>
      <c r="G25" s="72" t="inlineStr">
        <is>
          <t>+12.3%</t>
        </is>
      </c>
    </row>
    <row r="26" ht="18" customHeight="1">
      <c r="A26" s="73" t="inlineStr">
        <is>
          <t>صافي الربح</t>
        </is>
      </c>
      <c r="B26" s="74" t="n">
        <v>320</v>
      </c>
      <c r="C26" s="74" t="n">
        <v>450</v>
      </c>
      <c r="D26" s="74" t="n">
        <v>511</v>
      </c>
      <c r="E26" s="74" t="n">
        <v>661</v>
      </c>
      <c r="F26" s="75" t="inlineStr">
        <is>
          <t>27.4%</t>
        </is>
      </c>
      <c r="G26" s="75" t="inlineStr">
        <is>
          <t>+29.4%</t>
        </is>
      </c>
    </row>
    <row r="27" ht="18" customHeight="1">
      <c r="A27" s="76" t="inlineStr">
        <is>
          <t>التدفق النقدي التشغيلي</t>
        </is>
      </c>
      <c r="B27" s="77" t="n">
        <v>400</v>
      </c>
      <c r="C27" s="77" t="n">
        <v>550</v>
      </c>
      <c r="D27" s="77" t="n">
        <v>680</v>
      </c>
      <c r="E27" s="77" t="n">
        <v>820</v>
      </c>
      <c r="F27" s="78" t="inlineStr">
        <is>
          <t>27.0%</t>
        </is>
      </c>
      <c r="G27" s="78" t="inlineStr">
        <is>
          <t>+20.6%</t>
        </is>
      </c>
    </row>
    <row r="28" ht="18" customHeight="1">
      <c r="A28" s="76" t="inlineStr">
        <is>
          <t>حقوق المساهمين</t>
        </is>
      </c>
      <c r="B28" s="77" t="n">
        <v>1200</v>
      </c>
      <c r="C28" s="77" t="n">
        <v>1500</v>
      </c>
      <c r="D28" s="77" t="n">
        <v>1900</v>
      </c>
      <c r="E28" s="77" t="n">
        <v>2300</v>
      </c>
      <c r="F28" s="78" t="inlineStr">
        <is>
          <t>24.2%</t>
        </is>
      </c>
      <c r="G28" s="78" t="inlineStr">
        <is>
          <t>+21.1%</t>
        </is>
      </c>
    </row>
    <row r="30" ht="20" customHeight="1">
      <c r="A30" s="54" t="inlineStr">
        <is>
          <t xml:space="preserve">  المواساة (4002) — رعاية صحية</t>
        </is>
      </c>
    </row>
    <row r="31" ht="22" customHeight="1">
      <c r="A31" s="68" t="inlineStr">
        <is>
          <t>البند</t>
        </is>
      </c>
      <c r="B31" s="68" t="inlineStr">
        <is>
          <t>2021</t>
        </is>
      </c>
      <c r="C31" s="68" t="inlineStr">
        <is>
          <t>2022</t>
        </is>
      </c>
      <c r="D31" s="68" t="inlineStr">
        <is>
          <t>2023</t>
        </is>
      </c>
      <c r="E31" s="68" t="inlineStr">
        <is>
          <t>2024</t>
        </is>
      </c>
      <c r="F31" s="69" t="inlineStr">
        <is>
          <t>CAGR 3Y</t>
        </is>
      </c>
      <c r="G31" s="69" t="inlineStr">
        <is>
          <t>نمو 2024/2023</t>
        </is>
      </c>
    </row>
    <row r="32" ht="18" customHeight="1">
      <c r="A32" s="70" t="inlineStr">
        <is>
          <t>الإيرادات</t>
        </is>
      </c>
      <c r="B32" s="71" t="n">
        <v>2050</v>
      </c>
      <c r="C32" s="71" t="n">
        <v>2400</v>
      </c>
      <c r="D32" s="71" t="n">
        <v>2706</v>
      </c>
      <c r="E32" s="71" t="n">
        <v>2879</v>
      </c>
      <c r="F32" s="72" t="inlineStr">
        <is>
          <t>12.0%</t>
        </is>
      </c>
      <c r="G32" s="72" t="inlineStr">
        <is>
          <t>+6.4%</t>
        </is>
      </c>
    </row>
    <row r="33" ht="18" customHeight="1">
      <c r="A33" s="73" t="inlineStr">
        <is>
          <t>صافي الربح</t>
        </is>
      </c>
      <c r="B33" s="74" t="n">
        <v>520</v>
      </c>
      <c r="C33" s="74" t="n">
        <v>680</v>
      </c>
      <c r="D33" s="74" t="n">
        <v>658</v>
      </c>
      <c r="E33" s="74" t="n">
        <v>646</v>
      </c>
      <c r="F33" s="75" t="inlineStr">
        <is>
          <t>7.5%</t>
        </is>
      </c>
      <c r="G33" s="80" t="inlineStr">
        <is>
          <t>-1.8%</t>
        </is>
      </c>
    </row>
    <row r="34" ht="18" customHeight="1">
      <c r="A34" s="76" t="inlineStr">
        <is>
          <t>التدفق النقدي التشغيلي</t>
        </is>
      </c>
      <c r="B34" s="77" t="n">
        <v>650</v>
      </c>
      <c r="C34" s="77" t="n">
        <v>820</v>
      </c>
      <c r="D34" s="77" t="n">
        <v>800</v>
      </c>
      <c r="E34" s="77" t="n">
        <v>780</v>
      </c>
      <c r="F34" s="78" t="inlineStr">
        <is>
          <t>6.3%</t>
        </is>
      </c>
      <c r="G34" s="81" t="inlineStr">
        <is>
          <t>-2.5%</t>
        </is>
      </c>
    </row>
    <row r="35" ht="18" customHeight="1">
      <c r="A35" s="76" t="inlineStr">
        <is>
          <t>حقوق المساهمين</t>
        </is>
      </c>
      <c r="B35" s="77" t="n">
        <v>2800</v>
      </c>
      <c r="C35" s="77" t="n">
        <v>3200</v>
      </c>
      <c r="D35" s="77" t="n">
        <v>3600</v>
      </c>
      <c r="E35" s="77" t="n">
        <v>4000</v>
      </c>
      <c r="F35" s="78" t="inlineStr">
        <is>
          <t>12.6%</t>
        </is>
      </c>
      <c r="G35" s="78" t="inlineStr">
        <is>
          <t>+11.1%</t>
        </is>
      </c>
    </row>
    <row r="37" ht="20" customHeight="1">
      <c r="A37" s="54" t="inlineStr">
        <is>
          <t xml:space="preserve">  بدجت (4260) — خدمات استهلاكية</t>
        </is>
      </c>
    </row>
    <row r="38" ht="22" customHeight="1">
      <c r="A38" s="68" t="inlineStr">
        <is>
          <t>البند</t>
        </is>
      </c>
      <c r="B38" s="68" t="inlineStr">
        <is>
          <t>2021</t>
        </is>
      </c>
      <c r="C38" s="68" t="inlineStr">
        <is>
          <t>2022</t>
        </is>
      </c>
      <c r="D38" s="68" t="inlineStr">
        <is>
          <t>2023</t>
        </is>
      </c>
      <c r="E38" s="68" t="inlineStr">
        <is>
          <t>2024</t>
        </is>
      </c>
      <c r="F38" s="69" t="inlineStr">
        <is>
          <t>CAGR 3Y</t>
        </is>
      </c>
      <c r="G38" s="69" t="inlineStr">
        <is>
          <t>نمو 2024/2023</t>
        </is>
      </c>
    </row>
    <row r="39" ht="18" customHeight="1">
      <c r="A39" s="70" t="inlineStr">
        <is>
          <t>الإيرادات</t>
        </is>
      </c>
      <c r="B39" s="71" t="n">
        <v>1200</v>
      </c>
      <c r="C39" s="71" t="n">
        <v>1500</v>
      </c>
      <c r="D39" s="71" t="n">
        <v>1750</v>
      </c>
      <c r="E39" s="71" t="n">
        <v>1980</v>
      </c>
      <c r="F39" s="72" t="inlineStr">
        <is>
          <t>18.2%</t>
        </is>
      </c>
      <c r="G39" s="72" t="inlineStr">
        <is>
          <t>+13.1%</t>
        </is>
      </c>
    </row>
    <row r="40" ht="18" customHeight="1">
      <c r="A40" s="73" t="inlineStr">
        <is>
          <t>صافي الربح</t>
        </is>
      </c>
      <c r="B40" s="74" t="n">
        <v>185</v>
      </c>
      <c r="C40" s="74" t="n">
        <v>240</v>
      </c>
      <c r="D40" s="74" t="n">
        <v>277</v>
      </c>
      <c r="E40" s="74" t="n">
        <v>312</v>
      </c>
      <c r="F40" s="75" t="inlineStr">
        <is>
          <t>19.0%</t>
        </is>
      </c>
      <c r="G40" s="75" t="inlineStr">
        <is>
          <t>+12.6%</t>
        </is>
      </c>
    </row>
    <row r="41" ht="18" customHeight="1">
      <c r="A41" s="76" t="inlineStr">
        <is>
          <t>التدفق النقدي التشغيلي</t>
        </is>
      </c>
      <c r="B41" s="77" t="n">
        <v>380</v>
      </c>
      <c r="C41" s="77" t="n">
        <v>460</v>
      </c>
      <c r="D41" s="77" t="n">
        <v>510</v>
      </c>
      <c r="E41" s="77" t="n">
        <v>550</v>
      </c>
      <c r="F41" s="78" t="inlineStr">
        <is>
          <t>13.1%</t>
        </is>
      </c>
      <c r="G41" s="78" t="inlineStr">
        <is>
          <t>+7.8%</t>
        </is>
      </c>
    </row>
    <row r="42" ht="18" customHeight="1">
      <c r="A42" s="76" t="inlineStr">
        <is>
          <t>حقوق المساهمين</t>
        </is>
      </c>
      <c r="B42" s="77" t="n">
        <v>1300</v>
      </c>
      <c r="C42" s="77" t="n">
        <v>1500</v>
      </c>
      <c r="D42" s="77" t="n">
        <v>1725</v>
      </c>
      <c r="E42" s="77" t="n">
        <v>1903</v>
      </c>
      <c r="F42" s="78" t="inlineStr">
        <is>
          <t>13.5%</t>
        </is>
      </c>
      <c r="G42" s="78" t="inlineStr">
        <is>
          <t>+10.3%</t>
        </is>
      </c>
    </row>
    <row r="44" ht="20" customHeight="1">
      <c r="A44" s="54" t="inlineStr">
        <is>
          <t xml:space="preserve">  اكسترا (4003) — تجزئة</t>
        </is>
      </c>
    </row>
    <row r="45" ht="22" customHeight="1">
      <c r="A45" s="68" t="inlineStr">
        <is>
          <t>البند</t>
        </is>
      </c>
      <c r="B45" s="68" t="inlineStr">
        <is>
          <t>2021</t>
        </is>
      </c>
      <c r="C45" s="68" t="inlineStr">
        <is>
          <t>2022</t>
        </is>
      </c>
      <c r="D45" s="68" t="inlineStr">
        <is>
          <t>2023</t>
        </is>
      </c>
      <c r="E45" s="68" t="inlineStr">
        <is>
          <t>2024</t>
        </is>
      </c>
      <c r="F45" s="69" t="inlineStr">
        <is>
          <t>CAGR 3Y</t>
        </is>
      </c>
      <c r="G45" s="69" t="inlineStr">
        <is>
          <t>نمو 2024/2023</t>
        </is>
      </c>
    </row>
    <row r="46" ht="18" customHeight="1">
      <c r="A46" s="70" t="inlineStr">
        <is>
          <t>الإيرادات</t>
        </is>
      </c>
      <c r="B46" s="71" t="n">
        <v>4500</v>
      </c>
      <c r="C46" s="71" t="n">
        <v>5200</v>
      </c>
      <c r="D46" s="71" t="n">
        <v>5800</v>
      </c>
      <c r="E46" s="71" t="n">
        <v>6781</v>
      </c>
      <c r="F46" s="72" t="inlineStr">
        <is>
          <t>14.6%</t>
        </is>
      </c>
      <c r="G46" s="72" t="inlineStr">
        <is>
          <t>+16.9%</t>
        </is>
      </c>
    </row>
    <row r="47" ht="18" customHeight="1">
      <c r="A47" s="73" t="inlineStr">
        <is>
          <t>صافي الربح</t>
        </is>
      </c>
      <c r="B47" s="74" t="n">
        <v>280</v>
      </c>
      <c r="C47" s="74" t="n">
        <v>340</v>
      </c>
      <c r="D47" s="74" t="n">
        <v>390</v>
      </c>
      <c r="E47" s="74" t="n">
        <v>534</v>
      </c>
      <c r="F47" s="75" t="inlineStr">
        <is>
          <t>24.0%</t>
        </is>
      </c>
      <c r="G47" s="75" t="inlineStr">
        <is>
          <t>+36.9%</t>
        </is>
      </c>
    </row>
    <row r="48" ht="18" customHeight="1">
      <c r="A48" s="76" t="inlineStr">
        <is>
          <t>التدفق النقدي التشغيلي</t>
        </is>
      </c>
      <c r="B48" s="77" t="n">
        <v>350</v>
      </c>
      <c r="C48" s="77" t="n">
        <v>430</v>
      </c>
      <c r="D48" s="77" t="n">
        <v>500</v>
      </c>
      <c r="E48" s="77" t="n">
        <v>620</v>
      </c>
      <c r="F48" s="78" t="inlineStr">
        <is>
          <t>21.0%</t>
        </is>
      </c>
      <c r="G48" s="78" t="inlineStr">
        <is>
          <t>+24.0%</t>
        </is>
      </c>
    </row>
    <row r="49" ht="18" customHeight="1">
      <c r="A49" s="76" t="inlineStr">
        <is>
          <t>حقوق المساهمين</t>
        </is>
      </c>
      <c r="B49" s="77" t="n">
        <v>1200</v>
      </c>
      <c r="C49" s="77" t="n">
        <v>1400</v>
      </c>
      <c r="D49" s="77" t="n">
        <v>1650</v>
      </c>
      <c r="E49" s="77" t="n">
        <v>1900</v>
      </c>
      <c r="F49" s="78" t="inlineStr">
        <is>
          <t>16.6%</t>
        </is>
      </c>
      <c r="G49" s="78" t="inlineStr">
        <is>
          <t>+15.2%</t>
        </is>
      </c>
    </row>
    <row r="51" ht="20" customHeight="1">
      <c r="A51" s="54" t="inlineStr">
        <is>
          <t xml:space="preserve">  المتقدمة (2330) — بتروكيماويات</t>
        </is>
      </c>
    </row>
    <row r="52" ht="22" customHeight="1">
      <c r="A52" s="68" t="inlineStr">
        <is>
          <t>البند</t>
        </is>
      </c>
      <c r="B52" s="68" t="inlineStr">
        <is>
          <t>2021</t>
        </is>
      </c>
      <c r="C52" s="68" t="inlineStr">
        <is>
          <t>2022</t>
        </is>
      </c>
      <c r="D52" s="68" t="inlineStr">
        <is>
          <t>2023</t>
        </is>
      </c>
      <c r="E52" s="68" t="inlineStr">
        <is>
          <t>2024</t>
        </is>
      </c>
      <c r="F52" s="69" t="inlineStr">
        <is>
          <t>CAGR 3Y</t>
        </is>
      </c>
      <c r="G52" s="69" t="inlineStr">
        <is>
          <t>نمو 2024/2023</t>
        </is>
      </c>
    </row>
    <row r="53" ht="18" customHeight="1">
      <c r="A53" s="70" t="inlineStr">
        <is>
          <t>الإيرادات</t>
        </is>
      </c>
      <c r="B53" s="71" t="n">
        <v>2100</v>
      </c>
      <c r="C53" s="71" t="n">
        <v>2400</v>
      </c>
      <c r="D53" s="71" t="n">
        <v>1900</v>
      </c>
      <c r="E53" s="71" t="n">
        <v>1700</v>
      </c>
      <c r="F53" s="82" t="inlineStr">
        <is>
          <t>-6.8%</t>
        </is>
      </c>
      <c r="G53" s="82" t="inlineStr">
        <is>
          <t>-10.5%</t>
        </is>
      </c>
    </row>
    <row r="54" ht="18" customHeight="1">
      <c r="A54" s="73" t="inlineStr">
        <is>
          <t>صافي الربح</t>
        </is>
      </c>
      <c r="B54" s="74" t="n">
        <v>380</v>
      </c>
      <c r="C54" s="74" t="n">
        <v>320</v>
      </c>
      <c r="D54" s="74" t="n">
        <v>85</v>
      </c>
      <c r="E54" s="83" t="n">
        <v>-259</v>
      </c>
      <c r="F54" s="84" t="inlineStr">
        <is>
          <t>N/A</t>
        </is>
      </c>
      <c r="G54" s="80" t="inlineStr">
        <is>
          <t>-404.7%</t>
        </is>
      </c>
    </row>
    <row r="55" ht="18" customHeight="1">
      <c r="A55" s="76" t="inlineStr">
        <is>
          <t>التدفق النقدي التشغيلي</t>
        </is>
      </c>
      <c r="B55" s="77" t="n">
        <v>450</v>
      </c>
      <c r="C55" s="77" t="n">
        <v>380</v>
      </c>
      <c r="D55" s="77" t="n">
        <v>180</v>
      </c>
      <c r="E55" s="77" t="n">
        <v>50</v>
      </c>
      <c r="F55" s="81" t="inlineStr">
        <is>
          <t>-51.9%</t>
        </is>
      </c>
      <c r="G55" s="81" t="inlineStr">
        <is>
          <t>-72.2%</t>
        </is>
      </c>
    </row>
    <row r="56" ht="18" customHeight="1">
      <c r="A56" s="76" t="inlineStr">
        <is>
          <t>حقوق المساهمين</t>
        </is>
      </c>
      <c r="B56" s="77" t="n">
        <v>2200</v>
      </c>
      <c r="C56" s="77" t="n">
        <v>2400</v>
      </c>
      <c r="D56" s="77" t="n">
        <v>2300</v>
      </c>
      <c r="E56" s="77" t="n">
        <v>2000</v>
      </c>
      <c r="F56" s="81" t="inlineStr">
        <is>
          <t>-3.1%</t>
        </is>
      </c>
      <c r="G56" s="81" t="inlineStr">
        <is>
          <t>-13.0%</t>
        </is>
      </c>
    </row>
    <row r="58" ht="20" customHeight="1">
      <c r="A58" s="54" t="inlineStr">
        <is>
          <t xml:space="preserve">  بنيان ريت (4340) — صندوق عقاري (REIT)</t>
        </is>
      </c>
    </row>
    <row r="59" ht="22" customHeight="1">
      <c r="A59" s="68" t="inlineStr">
        <is>
          <t>البند</t>
        </is>
      </c>
      <c r="B59" s="68" t="inlineStr">
        <is>
          <t>2021</t>
        </is>
      </c>
      <c r="C59" s="68" t="inlineStr">
        <is>
          <t>2022</t>
        </is>
      </c>
      <c r="D59" s="68" t="inlineStr">
        <is>
          <t>2023</t>
        </is>
      </c>
      <c r="E59" s="68" t="inlineStr">
        <is>
          <t>2024</t>
        </is>
      </c>
      <c r="F59" s="69" t="inlineStr">
        <is>
          <t>CAGR 3Y</t>
        </is>
      </c>
      <c r="G59" s="69" t="inlineStr">
        <is>
          <t>نمو 2024/2023</t>
        </is>
      </c>
    </row>
    <row r="60" ht="18" customHeight="1">
      <c r="A60" s="70" t="inlineStr">
        <is>
          <t>الإيرادات</t>
        </is>
      </c>
      <c r="B60" s="71" t="n">
        <v>140</v>
      </c>
      <c r="C60" s="71" t="n">
        <v>155</v>
      </c>
      <c r="D60" s="71" t="n">
        <v>170</v>
      </c>
      <c r="E60" s="71" t="n">
        <v>190</v>
      </c>
      <c r="F60" s="72" t="inlineStr">
        <is>
          <t>10.7%</t>
        </is>
      </c>
      <c r="G60" s="72" t="inlineStr">
        <is>
          <t>+11.8%</t>
        </is>
      </c>
    </row>
    <row r="61" ht="18" customHeight="1">
      <c r="A61" s="73" t="inlineStr">
        <is>
          <t>صافي الربح</t>
        </is>
      </c>
      <c r="B61" s="74" t="n">
        <v>85</v>
      </c>
      <c r="C61" s="74" t="n">
        <v>95</v>
      </c>
      <c r="D61" s="74" t="n">
        <v>105</v>
      </c>
      <c r="E61" s="74" t="n">
        <v>118</v>
      </c>
      <c r="F61" s="75" t="inlineStr">
        <is>
          <t>11.6%</t>
        </is>
      </c>
      <c r="G61" s="75" t="inlineStr">
        <is>
          <t>+12.4%</t>
        </is>
      </c>
    </row>
    <row r="62" ht="18" customHeight="1">
      <c r="A62" s="76" t="inlineStr">
        <is>
          <t>التدفق النقدي التشغيلي</t>
        </is>
      </c>
      <c r="B62" s="77" t="n">
        <v>90</v>
      </c>
      <c r="C62" s="77" t="n">
        <v>100</v>
      </c>
      <c r="D62" s="77" t="n">
        <v>115</v>
      </c>
      <c r="E62" s="77" t="n">
        <v>130</v>
      </c>
      <c r="F62" s="78" t="inlineStr">
        <is>
          <t>13.0%</t>
        </is>
      </c>
      <c r="G62" s="78" t="inlineStr">
        <is>
          <t>+13.0%</t>
        </is>
      </c>
    </row>
    <row r="63" ht="18" customHeight="1">
      <c r="A63" s="76" t="inlineStr">
        <is>
          <t>حقوق المساهمين</t>
        </is>
      </c>
      <c r="B63" s="77" t="n">
        <v>1550</v>
      </c>
      <c r="C63" s="77" t="n">
        <v>1570</v>
      </c>
      <c r="D63" s="77" t="n">
        <v>1590</v>
      </c>
      <c r="E63" s="77" t="n">
        <v>1610</v>
      </c>
      <c r="F63" s="79" t="inlineStr">
        <is>
          <t>1.3%</t>
        </is>
      </c>
      <c r="G63" s="78" t="inlineStr">
        <is>
          <t>+1.3%</t>
        </is>
      </c>
    </row>
  </sheetData>
  <mergeCells count="10">
    <mergeCell ref="A44:G44"/>
    <mergeCell ref="A58:G58"/>
    <mergeCell ref="A1:G1"/>
    <mergeCell ref="A9:G9"/>
    <mergeCell ref="A30:G30"/>
    <mergeCell ref="A16:G16"/>
    <mergeCell ref="A2:G2"/>
    <mergeCell ref="A51:G51"/>
    <mergeCell ref="A37:G37"/>
    <mergeCell ref="A23:G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6" customWidth="1" min="14" max="14"/>
  </cols>
  <sheetData>
    <row r="1" ht="28" customHeight="1">
      <c r="A1" s="53" t="inlineStr">
        <is>
          <t>مصفوفة التقييم الشاملة — 7 أدوات تقييم + إجماع المحللين + هامش الأمان  (انظر ورقة منهجية التقييم للشرح)</t>
        </is>
      </c>
    </row>
    <row r="2" ht="20" customHeight="1">
      <c r="A2" s="85" t="inlineStr">
        <is>
          <t>🟦 P/E  🟩 P/B  🟨 DDM  🟥 DCF  🟪 EV/EBITDA  🔶 P/S  🔷 PEG  |  ✅ أخضر = فوق السعر الحالي (هدف أعلى)   🔴 أحمر = دون السعر الحالي</t>
        </is>
      </c>
    </row>
    <row r="3" ht="36" customHeight="1">
      <c r="A3" s="86" t="inlineStr">
        <is>
          <t>الشركة</t>
        </is>
      </c>
      <c r="B3" s="86" t="inlineStr">
        <is>
          <t>السعر
الحالي</t>
        </is>
      </c>
      <c r="C3" s="87" t="inlineStr">
        <is>
          <t>P/E
(نسبة)</t>
        </is>
      </c>
      <c r="D3" s="87" t="inlineStr">
        <is>
          <t>P/B
(نسبة)</t>
        </is>
      </c>
      <c r="E3" s="87" t="inlineStr">
        <is>
          <t>عائد
التوزيع%</t>
        </is>
      </c>
      <c r="F3" s="88" t="inlineStr">
        <is>
          <t>PEG
(نمو/P/E)</t>
        </is>
      </c>
      <c r="G3" s="88" t="inlineStr">
        <is>
          <t>P/S
(الإيرادات)</t>
        </is>
      </c>
      <c r="H3" s="89" t="inlineStr">
        <is>
          <t>قيمة عادلة
P/E</t>
        </is>
      </c>
      <c r="I3" s="89" t="inlineStr">
        <is>
          <t>قيمة عادلة
DDM</t>
        </is>
      </c>
      <c r="J3" s="89" t="inlineStr">
        <is>
          <t>قيمة عادلة
P/B</t>
        </is>
      </c>
      <c r="K3" s="90" t="inlineStr">
        <is>
          <t>قيمة عادلة
DCF</t>
        </is>
      </c>
      <c r="L3" s="91" t="inlineStr">
        <is>
          <t>قيمة عادلة
EV/EBITDA</t>
        </is>
      </c>
      <c r="M3" s="92" t="inlineStr">
        <is>
          <t>إجماع
المحللين</t>
        </is>
      </c>
      <c r="N3" s="93" t="inlineStr">
        <is>
          <t>هامش الأمان
(متوسط 5 طرق)%</t>
        </is>
      </c>
    </row>
    <row r="4" ht="22" customHeight="1">
      <c r="A4" s="94" t="inlineStr">
        <is>
          <t>الراجحي</t>
        </is>
      </c>
      <c r="B4" s="95" t="n">
        <v>69.34999999999999</v>
      </c>
      <c r="C4" s="96" t="n">
        <v>14</v>
      </c>
      <c r="D4" s="97" t="n">
        <v>2.76</v>
      </c>
      <c r="E4" s="98" t="n">
        <v>3.9</v>
      </c>
      <c r="F4" s="99" t="n">
        <v>1.46</v>
      </c>
      <c r="G4" s="97" t="n">
        <v>12.2</v>
      </c>
      <c r="H4" s="100" t="n">
        <v>83</v>
      </c>
      <c r="I4" s="100" t="n">
        <v>78</v>
      </c>
      <c r="J4" s="100" t="n">
        <v>90</v>
      </c>
      <c r="K4" s="101" t="n">
        <v>45.9</v>
      </c>
      <c r="L4" s="102" t="inlineStr">
        <is>
          <t>—</t>
        </is>
      </c>
      <c r="M4" s="100" t="n">
        <v>113.5</v>
      </c>
      <c r="N4" s="103" t="inlineStr">
        <is>
          <t>+7.0%</t>
        </is>
      </c>
    </row>
    <row r="5" ht="22" customHeight="1">
      <c r="A5" s="104" t="inlineStr">
        <is>
          <t>الإنماء</t>
        </is>
      </c>
      <c r="B5" s="105" t="n">
        <v>23.86</v>
      </c>
      <c r="C5" s="106" t="n">
        <v>9.4</v>
      </c>
      <c r="D5" s="107" t="n">
        <v>1.86</v>
      </c>
      <c r="E5" s="108" t="n">
        <v>4.4</v>
      </c>
      <c r="F5" s="109" t="n">
        <v>0.32</v>
      </c>
      <c r="G5" s="107" t="n">
        <v>4.7</v>
      </c>
      <c r="H5" s="110" t="n">
        <v>35</v>
      </c>
      <c r="I5" s="110" t="n">
        <v>28</v>
      </c>
      <c r="J5" s="110" t="n">
        <v>32</v>
      </c>
      <c r="K5" s="111" t="n">
        <v>20.2</v>
      </c>
      <c r="L5" s="112" t="inlineStr">
        <is>
          <t>—</t>
        </is>
      </c>
      <c r="M5" s="110" t="n">
        <v>27.6</v>
      </c>
      <c r="N5" s="113" t="inlineStr">
        <is>
          <t>+20.7%</t>
        </is>
      </c>
    </row>
    <row r="6" ht="22" customHeight="1">
      <c r="A6" s="114" t="inlineStr">
        <is>
          <t>STC</t>
        </is>
      </c>
      <c r="B6" s="115" t="n">
        <v>43.54</v>
      </c>
      <c r="C6" s="116" t="n">
        <v>14.2</v>
      </c>
      <c r="D6" s="117" t="n">
        <v>3.82</v>
      </c>
      <c r="E6" s="118" t="n">
        <v>5.2</v>
      </c>
      <c r="F6" s="119" t="n">
        <v>0.47</v>
      </c>
      <c r="G6" s="117" t="n">
        <v>2.9</v>
      </c>
      <c r="H6" s="120" t="n">
        <v>51</v>
      </c>
      <c r="I6" s="120" t="n">
        <v>45</v>
      </c>
      <c r="J6" s="120" t="n">
        <v>48</v>
      </c>
      <c r="K6" s="120" t="n">
        <v>57.4</v>
      </c>
      <c r="L6" s="120" t="n">
        <v>43.9</v>
      </c>
      <c r="M6" s="120" t="n">
        <v>47.7</v>
      </c>
      <c r="N6" s="121" t="inlineStr">
        <is>
          <t>+12.8%</t>
        </is>
      </c>
    </row>
    <row r="7" ht="22" customHeight="1">
      <c r="A7" s="122" t="inlineStr">
        <is>
          <t>سال</t>
        </is>
      </c>
      <c r="B7" s="123" t="n">
        <v>168</v>
      </c>
      <c r="C7" s="124" t="n">
        <v>22.4</v>
      </c>
      <c r="D7" s="125" t="n">
        <v>6.4</v>
      </c>
      <c r="E7" s="126" t="n">
        <v>1.8</v>
      </c>
      <c r="F7" s="127" t="n">
        <v>0.82</v>
      </c>
      <c r="G7" s="125" t="n">
        <v>8.199999999999999</v>
      </c>
      <c r="H7" s="128" t="n">
        <v>220</v>
      </c>
      <c r="I7" s="128" t="n">
        <v>195</v>
      </c>
      <c r="J7" s="128" t="n">
        <v>210</v>
      </c>
      <c r="K7" s="129" t="n">
        <v>143</v>
      </c>
      <c r="L7" s="129" t="n">
        <v>137.8</v>
      </c>
      <c r="M7" s="128" t="n">
        <v>178.4</v>
      </c>
      <c r="N7" s="130" t="inlineStr">
        <is>
          <t>+7.9%</t>
        </is>
      </c>
    </row>
    <row r="8" ht="22" customHeight="1">
      <c r="A8" s="131" t="inlineStr">
        <is>
          <t>المواساة</t>
        </is>
      </c>
      <c r="B8" s="132" t="n">
        <v>59.1</v>
      </c>
      <c r="C8" s="133" t="n">
        <v>20.7</v>
      </c>
      <c r="D8" s="134" t="n">
        <v>3.35</v>
      </c>
      <c r="E8" s="135" t="n">
        <v>3</v>
      </c>
      <c r="F8" s="136" t="n">
        <v>2.76</v>
      </c>
      <c r="G8" s="134" t="n">
        <v>4.1</v>
      </c>
      <c r="H8" s="137" t="n">
        <v>74</v>
      </c>
      <c r="I8" s="137" t="n">
        <v>70</v>
      </c>
      <c r="J8" s="137" t="n">
        <v>80</v>
      </c>
      <c r="K8" s="138" t="n">
        <v>52.1</v>
      </c>
      <c r="L8" s="137" t="n">
        <v>61.2</v>
      </c>
      <c r="M8" s="137" t="n">
        <v>91.59999999999999</v>
      </c>
      <c r="N8" s="139" t="inlineStr">
        <is>
          <t>+14.2%</t>
        </is>
      </c>
    </row>
    <row r="9" ht="22" customHeight="1">
      <c r="A9" s="140" t="inlineStr">
        <is>
          <t>بدجت</t>
        </is>
      </c>
      <c r="B9" s="141" t="n">
        <v>75.90000000000001</v>
      </c>
      <c r="C9" s="142" t="n">
        <v>12.2</v>
      </c>
      <c r="D9" s="143" t="n">
        <v>2</v>
      </c>
      <c r="E9" s="144" t="n">
        <v>3.8</v>
      </c>
      <c r="F9" s="145" t="n">
        <v>0.64</v>
      </c>
      <c r="G9" s="143" t="n">
        <v>3.8</v>
      </c>
      <c r="H9" s="146" t="n">
        <v>46</v>
      </c>
      <c r="I9" s="146" t="n">
        <v>38</v>
      </c>
      <c r="J9" s="146" t="n">
        <v>40</v>
      </c>
      <c r="K9" s="146" t="n">
        <v>47.2</v>
      </c>
      <c r="L9" s="146" t="n">
        <v>49.3</v>
      </c>
      <c r="M9" s="147" t="n">
        <v>90.2</v>
      </c>
      <c r="N9" s="148" t="inlineStr">
        <is>
          <t>-41.9%</t>
        </is>
      </c>
    </row>
    <row r="10" ht="22" customHeight="1">
      <c r="A10" s="122" t="inlineStr">
        <is>
          <t>اكسترا</t>
        </is>
      </c>
      <c r="B10" s="123" t="n">
        <v>81.90000000000001</v>
      </c>
      <c r="C10" s="124" t="n">
        <v>14.4</v>
      </c>
      <c r="D10" s="125" t="n">
        <v>4</v>
      </c>
      <c r="E10" s="126" t="n">
        <v>5.3</v>
      </c>
      <c r="F10" s="127" t="n">
        <v>0.6</v>
      </c>
      <c r="G10" s="125" t="n">
        <v>1</v>
      </c>
      <c r="H10" s="128" t="n">
        <v>115</v>
      </c>
      <c r="I10" s="128" t="n">
        <v>98</v>
      </c>
      <c r="J10" s="128" t="n">
        <v>105</v>
      </c>
      <c r="K10" s="128" t="n">
        <v>106.2</v>
      </c>
      <c r="L10" s="128" t="n">
        <v>86.8</v>
      </c>
      <c r="M10" s="128" t="n">
        <v>111.7</v>
      </c>
      <c r="N10" s="149" t="inlineStr">
        <is>
          <t>+24.8%</t>
        </is>
      </c>
    </row>
    <row r="11" ht="22" customHeight="1">
      <c r="A11" s="150" t="inlineStr">
        <is>
          <t>المتقدمة</t>
        </is>
      </c>
      <c r="B11" s="151" t="n">
        <v>34.12</v>
      </c>
      <c r="C11" s="152" t="inlineStr">
        <is>
          <t>خسارة</t>
        </is>
      </c>
      <c r="D11" s="153" t="n">
        <v>3</v>
      </c>
      <c r="E11" s="154" t="n">
        <v>0</v>
      </c>
      <c r="F11" s="155" t="inlineStr">
        <is>
          <t>—</t>
        </is>
      </c>
      <c r="G11" s="153" t="n">
        <v>2.5</v>
      </c>
      <c r="H11" s="156" t="n">
        <v>60</v>
      </c>
      <c r="I11" s="155" t="inlineStr">
        <is>
          <t>—</t>
        </is>
      </c>
      <c r="J11" s="156" t="n">
        <v>55</v>
      </c>
      <c r="K11" s="155" t="inlineStr">
        <is>
          <t>—</t>
        </is>
      </c>
      <c r="L11" s="157" t="n">
        <v>3.6</v>
      </c>
      <c r="M11" s="156" t="n">
        <v>38.8</v>
      </c>
      <c r="N11" s="158" t="inlineStr">
        <is>
          <t>+15.8%</t>
        </is>
      </c>
    </row>
    <row r="12" ht="22" customHeight="1">
      <c r="A12" s="159" t="inlineStr">
        <is>
          <t>بنيان ريت</t>
        </is>
      </c>
      <c r="B12" s="160" t="n">
        <v>9.25</v>
      </c>
      <c r="C12" s="161" t="n">
        <v>14.1</v>
      </c>
      <c r="D12" s="162" t="n">
        <v>1.03</v>
      </c>
      <c r="E12" s="163" t="n">
        <v>7.5</v>
      </c>
      <c r="F12" s="164" t="n">
        <v>1.22</v>
      </c>
      <c r="G12" s="162" t="n">
        <v>7.9</v>
      </c>
      <c r="H12" s="165" t="n">
        <v>10.8</v>
      </c>
      <c r="I12" s="165" t="n">
        <v>11.5</v>
      </c>
      <c r="J12" s="165" t="n">
        <v>10.5</v>
      </c>
      <c r="K12" s="165" t="n">
        <v>14.8</v>
      </c>
      <c r="L12" s="166" t="inlineStr">
        <is>
          <t>—</t>
        </is>
      </c>
      <c r="M12" s="166" t="inlineStr">
        <is>
          <t>—</t>
        </is>
      </c>
      <c r="N12" s="167" t="inlineStr">
        <is>
          <t>+28.6%</t>
        </is>
      </c>
    </row>
    <row r="14" ht="42" customHeight="1">
      <c r="A14" s="168" t="inlineStr">
        <is>
          <t>منهجية: P/E = متوسط P/E قطاعي × EPS 2024  |  P/B = متوسط P/B قطاعي × القيمة الدفترية  |  DDM = DPS₁/(WACC−g)  |  DCF = Σ FCF/(1+WACC)^t + Terminal (5 سنوات، g_terminal=3%)  |  EV/EBITDA = EBITDA × Benchmark القطاعي ÷ الأسهم  |  PEG = P/E ÷ CAGR%  |  هامش الأمان = (متوسط 5 طرق − السعر) ÷ السعر  |  ⚠ DCF وEV/EBITDA تقديرات مبنية على OCF كـProxy — راجع ورقة منهجية التقييم للتفاصيل</t>
        </is>
      </c>
    </row>
  </sheetData>
  <mergeCells count="3">
    <mergeCell ref="A14:N14"/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6" customWidth="1" min="3" max="3"/>
    <col width="38" customWidth="1" min="4" max="4"/>
    <col width="18" customWidth="1" min="5" max="5"/>
    <col width="36" customWidth="1" min="6" max="6"/>
    <col width="14" customWidth="1" min="7" max="7"/>
  </cols>
  <sheetData>
    <row r="1" ht="28" customHeight="1">
      <c r="A1" s="53" t="inlineStr">
        <is>
          <t>تقييمات بيوت الخبرة والإجماع لـ 9 شركات  |  المصدر: Investing.com · Bloomberg · Argaam · الجزيرة كابيتال  |  مايو 2026</t>
        </is>
      </c>
    </row>
    <row r="2" ht="32" customHeight="1">
      <c r="A2" s="169" t="inlineStr">
        <is>
          <t>⚠ ملاحظة: أسعار بيوت الخبرة المسماة محدودة الإتاحة للعموم — البيانات المُتحقق منها تعتمد على إجماع Investing.com/Bloomberg. | ⚠ أهداف بدجت مُحتسبة قبل نتائج Q1 2026 المخيبة للآمال.</t>
        </is>
      </c>
    </row>
    <row r="3" ht="32" customHeight="1">
      <c r="A3" s="170" t="inlineStr">
        <is>
          <t>الشركة</t>
        </is>
      </c>
      <c r="B3" s="170" t="inlineStr">
        <is>
          <t>الرمز</t>
        </is>
      </c>
      <c r="C3" s="170" t="inlineStr">
        <is>
          <t>السعر الحالي
(ريال)</t>
        </is>
      </c>
      <c r="D3" s="170" t="inlineStr">
        <is>
          <t>بيت الخبرة / المصدر</t>
        </is>
      </c>
      <c r="E3" s="170" t="inlineStr">
        <is>
          <t>السعر المستهدف
(ريال)</t>
        </is>
      </c>
      <c r="F3" s="170" t="inlineStr">
        <is>
          <t>التوصية</t>
        </is>
      </c>
      <c r="G3" s="170" t="inlineStr">
        <is>
          <t>Upside%</t>
        </is>
      </c>
    </row>
    <row r="4" ht="20" customHeight="1">
      <c r="A4" s="171" t="inlineStr">
        <is>
          <t>الراجحي</t>
        </is>
      </c>
      <c r="B4" s="172" t="inlineStr">
        <is>
          <t>1120</t>
        </is>
      </c>
      <c r="C4" s="173" t="n">
        <v>69.34999999999999</v>
      </c>
      <c r="D4" s="174" t="inlineStr">
        <is>
          <t>الجزيرة كابيتال</t>
        </is>
      </c>
      <c r="E4" s="175" t="n">
        <v>102</v>
      </c>
      <c r="F4" s="176" t="inlineStr">
        <is>
          <t>زيادة المراكز (OW)</t>
        </is>
      </c>
      <c r="G4" s="177" t="inlineStr">
        <is>
          <t>+47.1%</t>
        </is>
      </c>
    </row>
    <row r="5" ht="20" customHeight="1">
      <c r="A5" s="178" t="inlineStr"/>
      <c r="B5" s="178" t="inlineStr"/>
      <c r="C5" s="178" t="inlineStr"/>
      <c r="D5" s="174" t="inlineStr">
        <is>
          <t>مورغان ستانلي</t>
        </is>
      </c>
      <c r="E5" s="175" t="n">
        <v>94.5</v>
      </c>
      <c r="F5" s="176" t="inlineStr">
        <is>
          <t>محايد (Neutral)</t>
        </is>
      </c>
      <c r="G5" s="177" t="inlineStr">
        <is>
          <t>+36.3%</t>
        </is>
      </c>
    </row>
    <row r="6" ht="20" customHeight="1">
      <c r="A6" s="178" t="inlineStr"/>
      <c r="B6" s="178" t="inlineStr"/>
      <c r="C6" s="178" t="inlineStr"/>
      <c r="D6" s="174" t="inlineStr">
        <is>
          <t>إجماع (8 محللين)</t>
        </is>
      </c>
      <c r="E6" s="175" t="n">
        <v>113.5</v>
      </c>
      <c r="F6" s="176" t="inlineStr">
        <is>
          <t>شراء (Buy)</t>
        </is>
      </c>
      <c r="G6" s="177" t="inlineStr">
        <is>
          <t>+63.7%</t>
        </is>
      </c>
    </row>
    <row r="7" ht="20" customHeight="1">
      <c r="A7" s="178" t="inlineStr"/>
      <c r="B7" s="178" t="inlineStr"/>
      <c r="C7" s="178" t="inlineStr"/>
      <c r="D7" s="174" t="inlineStr">
        <is>
          <t>الأعلى (High)</t>
        </is>
      </c>
      <c r="E7" s="175" t="n">
        <v>126</v>
      </c>
      <c r="F7" s="176" t="inlineStr">
        <is>
          <t>شراء قوي</t>
        </is>
      </c>
      <c r="G7" s="177" t="inlineStr">
        <is>
          <t>+81.7%</t>
        </is>
      </c>
    </row>
    <row r="8" ht="20" customHeight="1">
      <c r="A8" s="178" t="inlineStr"/>
      <c r="B8" s="178" t="inlineStr"/>
      <c r="C8" s="178" t="inlineStr"/>
      <c r="D8" s="174" t="inlineStr">
        <is>
          <t>الأدنى (Low)</t>
        </is>
      </c>
      <c r="E8" s="175" t="n">
        <v>99.40000000000001</v>
      </c>
      <c r="F8" s="176" t="inlineStr">
        <is>
          <t>شراء</t>
        </is>
      </c>
      <c r="G8" s="177" t="inlineStr">
        <is>
          <t>+43.3%</t>
        </is>
      </c>
    </row>
    <row r="9" ht="16" customHeight="1">
      <c r="A9" s="179" t="inlineStr">
        <is>
          <t>الإجماع: متوسط 113.5 | نطاق 99.4–126.0 | 8 محللين | شراء | مايو 2026</t>
        </is>
      </c>
    </row>
    <row r="10" ht="20" customHeight="1">
      <c r="A10" s="171" t="inlineStr">
        <is>
          <t>الإنماء</t>
        </is>
      </c>
      <c r="B10" s="172" t="inlineStr">
        <is>
          <t>1150</t>
        </is>
      </c>
      <c r="C10" s="173" t="n">
        <v>23.86</v>
      </c>
      <c r="D10" s="174" t="inlineStr">
        <is>
          <t>إجماع (8 محللين)</t>
        </is>
      </c>
      <c r="E10" s="175" t="n">
        <v>27.6</v>
      </c>
      <c r="F10" s="176" t="inlineStr">
        <is>
          <t>شراء (Buy)</t>
        </is>
      </c>
      <c r="G10" s="177" t="inlineStr">
        <is>
          <t>+15.7%</t>
        </is>
      </c>
    </row>
    <row r="11" ht="20" customHeight="1">
      <c r="A11" s="178" t="inlineStr"/>
      <c r="B11" s="178" t="inlineStr"/>
      <c r="C11" s="178" t="inlineStr"/>
      <c r="D11" s="174" t="inlineStr">
        <is>
          <t>الأعلى (High)</t>
        </is>
      </c>
      <c r="E11" s="175" t="n">
        <v>41</v>
      </c>
      <c r="F11" s="176" t="inlineStr">
        <is>
          <t>شراء قوي</t>
        </is>
      </c>
      <c r="G11" s="177" t="inlineStr">
        <is>
          <t>+71.8%</t>
        </is>
      </c>
    </row>
    <row r="12" ht="20" customHeight="1">
      <c r="A12" s="178" t="inlineStr"/>
      <c r="B12" s="178" t="inlineStr"/>
      <c r="C12" s="178" t="inlineStr"/>
      <c r="D12" s="174" t="inlineStr">
        <is>
          <t>الأدنى (Low)</t>
        </is>
      </c>
      <c r="E12" s="175" t="n">
        <v>25</v>
      </c>
      <c r="F12" s="176" t="inlineStr">
        <is>
          <t>محايد</t>
        </is>
      </c>
      <c r="G12" s="180" t="inlineStr">
        <is>
          <t>+4.8%</t>
        </is>
      </c>
    </row>
    <row r="13" ht="16" customHeight="1">
      <c r="A13" s="179" t="inlineStr">
        <is>
          <t>الإجماع: متوسط 27.6 | نطاق 25.0–41.0 | 8 محللين | شراء | مايو 2026</t>
        </is>
      </c>
    </row>
    <row r="14" ht="20" customHeight="1">
      <c r="A14" s="181" t="inlineStr">
        <is>
          <t>STC</t>
        </is>
      </c>
      <c r="B14" s="182" t="inlineStr">
        <is>
          <t>7010</t>
        </is>
      </c>
      <c r="C14" s="183" t="n">
        <v>43.54</v>
      </c>
      <c r="D14" s="184" t="inlineStr">
        <is>
          <t>إجماع (8 محللين)</t>
        </is>
      </c>
      <c r="E14" s="185" t="n">
        <v>47.7</v>
      </c>
      <c r="F14" s="186" t="inlineStr">
        <is>
          <t>شراء (Buy)</t>
        </is>
      </c>
      <c r="G14" s="187" t="inlineStr">
        <is>
          <t>+9.6%</t>
        </is>
      </c>
    </row>
    <row r="15" ht="20" customHeight="1">
      <c r="A15" s="188" t="inlineStr"/>
      <c r="B15" s="188" t="inlineStr"/>
      <c r="C15" s="188" t="inlineStr"/>
      <c r="D15" s="184" t="inlineStr">
        <is>
          <t>الأعلى (High)</t>
        </is>
      </c>
      <c r="E15" s="185" t="n">
        <v>55</v>
      </c>
      <c r="F15" s="186" t="inlineStr">
        <is>
          <t>شراء قوي</t>
        </is>
      </c>
      <c r="G15" s="187" t="inlineStr">
        <is>
          <t>+26.3%</t>
        </is>
      </c>
    </row>
    <row r="16" ht="20" customHeight="1">
      <c r="A16" s="188" t="inlineStr"/>
      <c r="B16" s="188" t="inlineStr"/>
      <c r="C16" s="188" t="inlineStr"/>
      <c r="D16" s="184" t="inlineStr">
        <is>
          <t>الأدنى (Low)</t>
        </is>
      </c>
      <c r="E16" s="189" t="n">
        <v>41.1</v>
      </c>
      <c r="F16" s="186" t="inlineStr">
        <is>
          <t>محايد</t>
        </is>
      </c>
      <c r="G16" s="190" t="inlineStr">
        <is>
          <t>-5.6%</t>
        </is>
      </c>
    </row>
    <row r="17" ht="16" customHeight="1">
      <c r="A17" s="179" t="inlineStr">
        <is>
          <t>الإجماع: متوسط 47.7 | نطاق 41.1–55.0 | 8 محللين | شراء | مايو 2026</t>
        </is>
      </c>
    </row>
    <row r="18" ht="20" customHeight="1">
      <c r="A18" s="191" t="inlineStr">
        <is>
          <t>سال</t>
        </is>
      </c>
      <c r="B18" s="192" t="inlineStr">
        <is>
          <t>4263</t>
        </is>
      </c>
      <c r="C18" s="193" t="n">
        <v>168</v>
      </c>
      <c r="D18" s="194" t="inlineStr">
        <is>
          <t>إجماع المحللين</t>
        </is>
      </c>
      <c r="E18" s="195" t="n">
        <v>178.4</v>
      </c>
      <c r="F18" s="196" t="inlineStr">
        <is>
          <t>محايد (Neutral)</t>
        </is>
      </c>
      <c r="G18" s="197" t="inlineStr">
        <is>
          <t>+6.2%</t>
        </is>
      </c>
    </row>
    <row r="19" ht="20" customHeight="1">
      <c r="A19" s="198" t="inlineStr"/>
      <c r="B19" s="198" t="inlineStr"/>
      <c r="C19" s="198" t="inlineStr"/>
      <c r="D19" s="194" t="inlineStr">
        <is>
          <t>الأعلى (High)</t>
        </is>
      </c>
      <c r="E19" s="195" t="n">
        <v>196.1</v>
      </c>
      <c r="F19" s="196" t="inlineStr">
        <is>
          <t>شراء</t>
        </is>
      </c>
      <c r="G19" s="197" t="inlineStr">
        <is>
          <t>+16.7%</t>
        </is>
      </c>
    </row>
    <row r="20" ht="20" customHeight="1">
      <c r="A20" s="198" t="inlineStr"/>
      <c r="B20" s="198" t="inlineStr"/>
      <c r="C20" s="198" t="inlineStr"/>
      <c r="D20" s="194" t="inlineStr">
        <is>
          <t>الأدنى (Low)</t>
        </is>
      </c>
      <c r="E20" s="199" t="n">
        <v>165</v>
      </c>
      <c r="F20" s="196" t="inlineStr">
        <is>
          <t>محايد</t>
        </is>
      </c>
      <c r="G20" s="200" t="inlineStr">
        <is>
          <t>-1.8%</t>
        </is>
      </c>
    </row>
    <row r="21" ht="16" customHeight="1">
      <c r="A21" s="179" t="inlineStr">
        <is>
          <t>الإجماع: متوسط 178.4 | نطاق 165.0–196.1 | ? محللين | محايد | مايو 2026</t>
        </is>
      </c>
    </row>
    <row r="22" ht="20" customHeight="1">
      <c r="A22" s="201" t="inlineStr">
        <is>
          <t>المواساة</t>
        </is>
      </c>
      <c r="B22" s="202" t="inlineStr">
        <is>
          <t>4002</t>
        </is>
      </c>
      <c r="C22" s="203" t="n">
        <v>59.1</v>
      </c>
      <c r="D22" s="204" t="inlineStr">
        <is>
          <t>إجماع (5+ محللين)</t>
        </is>
      </c>
      <c r="E22" s="205" t="n">
        <v>91.59999999999999</v>
      </c>
      <c r="F22" s="206" t="inlineStr">
        <is>
          <t>شراء (Buy)</t>
        </is>
      </c>
      <c r="G22" s="207" t="inlineStr">
        <is>
          <t>+55.0%</t>
        </is>
      </c>
    </row>
    <row r="23" ht="20" customHeight="1">
      <c r="A23" s="208" t="inlineStr"/>
      <c r="B23" s="208" t="inlineStr"/>
      <c r="C23" s="208" t="inlineStr"/>
      <c r="D23" s="204" t="inlineStr">
        <is>
          <t>الأعلى (High)</t>
        </is>
      </c>
      <c r="E23" s="205" t="n">
        <v>125</v>
      </c>
      <c r="F23" s="206" t="inlineStr">
        <is>
          <t>شراء قوي</t>
        </is>
      </c>
      <c r="G23" s="207" t="inlineStr">
        <is>
          <t>+111.5%</t>
        </is>
      </c>
    </row>
    <row r="24" ht="20" customHeight="1">
      <c r="A24" s="208" t="inlineStr"/>
      <c r="B24" s="208" t="inlineStr"/>
      <c r="C24" s="208" t="inlineStr"/>
      <c r="D24" s="204" t="inlineStr">
        <is>
          <t>الأدنى (Low)</t>
        </is>
      </c>
      <c r="E24" s="205" t="n">
        <v>75.5</v>
      </c>
      <c r="F24" s="206" t="inlineStr">
        <is>
          <t>محايد</t>
        </is>
      </c>
      <c r="G24" s="207" t="inlineStr">
        <is>
          <t>+27.7%</t>
        </is>
      </c>
    </row>
    <row r="25" ht="16" customHeight="1">
      <c r="A25" s="179" t="inlineStr">
        <is>
          <t>الإجماع: متوسط 91.6 | نطاق 75.5–125.0 | 5 محللين | شراء | مايو 2026</t>
        </is>
      </c>
    </row>
    <row r="26" ht="20" customHeight="1">
      <c r="A26" s="209" t="inlineStr">
        <is>
          <t>بدجت</t>
        </is>
      </c>
      <c r="B26" s="210" t="inlineStr">
        <is>
          <t>4260</t>
        </is>
      </c>
      <c r="C26" s="211" t="n">
        <v>75.90000000000001</v>
      </c>
      <c r="D26" s="212" t="inlineStr">
        <is>
          <t>⚠ إجماع (8) — قبل انهيار Q1</t>
        </is>
      </c>
      <c r="E26" s="213" t="n">
        <v>90.2</v>
      </c>
      <c r="F26" s="214" t="inlineStr">
        <is>
          <t>شراء قوي — يستوجب مراجعة</t>
        </is>
      </c>
      <c r="G26" s="215" t="inlineStr">
        <is>
          <t>+18.8%</t>
        </is>
      </c>
    </row>
    <row r="27" ht="20" customHeight="1">
      <c r="A27" s="216" t="inlineStr"/>
      <c r="B27" s="216" t="inlineStr"/>
      <c r="C27" s="216" t="inlineStr"/>
      <c r="D27" s="212" t="inlineStr">
        <is>
          <t>الأعلى (High) — قبل Q1</t>
        </is>
      </c>
      <c r="E27" s="213" t="n">
        <v>100</v>
      </c>
      <c r="F27" s="214" t="inlineStr">
        <is>
          <t>شراء قوي</t>
        </is>
      </c>
      <c r="G27" s="215" t="inlineStr">
        <is>
          <t>+31.8%</t>
        </is>
      </c>
    </row>
    <row r="28" ht="20" customHeight="1">
      <c r="A28" s="216" t="inlineStr"/>
      <c r="B28" s="216" t="inlineStr"/>
      <c r="C28" s="216" t="inlineStr"/>
      <c r="D28" s="212" t="inlineStr">
        <is>
          <t>الأدنى (Low) — قبل Q1</t>
        </is>
      </c>
      <c r="E28" s="213" t="n">
        <v>80</v>
      </c>
      <c r="F28" s="214" t="inlineStr">
        <is>
          <t>شراء</t>
        </is>
      </c>
      <c r="G28" s="215" t="inlineStr">
        <is>
          <t>+5.4%</t>
        </is>
      </c>
    </row>
    <row r="29" ht="16" customHeight="1">
      <c r="A29" s="179" t="inlineStr">
        <is>
          <t>الإجماع: متوسط 90.2 | نطاق 80.0–100.0 | 8 محللين | ⚠ شراء قوي (قبل Q1 2026) | ⚠ سابق لنتائج Q1 2026</t>
        </is>
      </c>
    </row>
    <row r="30" ht="20" customHeight="1">
      <c r="A30" s="191" t="inlineStr">
        <is>
          <t>اكسترا</t>
        </is>
      </c>
      <c r="B30" s="192" t="inlineStr">
        <is>
          <t>4003</t>
        </is>
      </c>
      <c r="C30" s="193" t="n">
        <v>81.90000000000001</v>
      </c>
      <c r="D30" s="194" t="inlineStr">
        <is>
          <t>إجماع (8 محللين)</t>
        </is>
      </c>
      <c r="E30" s="195" t="n">
        <v>111.7</v>
      </c>
      <c r="F30" s="196" t="inlineStr">
        <is>
          <t>شراء قوي (Strong Buy)</t>
        </is>
      </c>
      <c r="G30" s="197" t="inlineStr">
        <is>
          <t>+36.4%</t>
        </is>
      </c>
    </row>
    <row r="31" ht="20" customHeight="1">
      <c r="A31" s="198" t="inlineStr"/>
      <c r="B31" s="198" t="inlineStr"/>
      <c r="C31" s="198" t="inlineStr"/>
      <c r="D31" s="194" t="inlineStr">
        <is>
          <t>الأعلى (High)</t>
        </is>
      </c>
      <c r="E31" s="195" t="n">
        <v>140</v>
      </c>
      <c r="F31" s="196" t="inlineStr">
        <is>
          <t>شراء قوي</t>
        </is>
      </c>
      <c r="G31" s="197" t="inlineStr">
        <is>
          <t>+70.9%</t>
        </is>
      </c>
    </row>
    <row r="32" ht="20" customHeight="1">
      <c r="A32" s="198" t="inlineStr"/>
      <c r="B32" s="198" t="inlineStr"/>
      <c r="C32" s="198" t="inlineStr"/>
      <c r="D32" s="194" t="inlineStr">
        <is>
          <t>الأدنى (Low)</t>
        </is>
      </c>
      <c r="E32" s="195" t="n">
        <v>93</v>
      </c>
      <c r="F32" s="196" t="inlineStr">
        <is>
          <t>شراء</t>
        </is>
      </c>
      <c r="G32" s="197" t="inlineStr">
        <is>
          <t>+13.6%</t>
        </is>
      </c>
    </row>
    <row r="33" ht="16" customHeight="1">
      <c r="A33" s="179" t="inlineStr">
        <is>
          <t>الإجماع: متوسط 111.7 | نطاق 93.0–140.0 | 8 محللين | شراء قوي | مايو 2026</t>
        </is>
      </c>
    </row>
    <row r="34" ht="20" customHeight="1">
      <c r="A34" s="131" t="inlineStr">
        <is>
          <t>المتقدمة</t>
        </is>
      </c>
      <c r="B34" s="217" t="inlineStr">
        <is>
          <t>2330</t>
        </is>
      </c>
      <c r="C34" s="132" t="n">
        <v>34.12</v>
      </c>
      <c r="D34" s="218" t="inlineStr">
        <is>
          <t>إجماع (8 محللين)</t>
        </is>
      </c>
      <c r="E34" s="219" t="n">
        <v>38.8</v>
      </c>
      <c r="F34" s="220" t="inlineStr">
        <is>
          <t>محايد (Hold)</t>
        </is>
      </c>
      <c r="G34" s="139" t="inlineStr">
        <is>
          <t>+13.7%</t>
        </is>
      </c>
    </row>
    <row r="35" ht="20" customHeight="1">
      <c r="A35" s="221" t="inlineStr"/>
      <c r="B35" s="221" t="inlineStr"/>
      <c r="C35" s="221" t="inlineStr"/>
      <c r="D35" s="218" t="inlineStr">
        <is>
          <t>الأعلى (High)</t>
        </is>
      </c>
      <c r="E35" s="219" t="n">
        <v>50</v>
      </c>
      <c r="F35" s="220" t="inlineStr">
        <is>
          <t>شراء — عند التعافي</t>
        </is>
      </c>
      <c r="G35" s="139" t="inlineStr">
        <is>
          <t>+46.5%</t>
        </is>
      </c>
    </row>
    <row r="36" ht="20" customHeight="1">
      <c r="A36" s="221" t="inlineStr"/>
      <c r="B36" s="221" t="inlineStr"/>
      <c r="C36" s="221" t="inlineStr"/>
      <c r="D36" s="218" t="inlineStr">
        <is>
          <t>الأدنى (Low)</t>
        </is>
      </c>
      <c r="E36" s="222" t="n">
        <v>31.1</v>
      </c>
      <c r="F36" s="220" t="inlineStr">
        <is>
          <t>بيع / تخفيض</t>
        </is>
      </c>
      <c r="G36" s="223" t="inlineStr">
        <is>
          <t>-8.9%</t>
        </is>
      </c>
    </row>
    <row r="37" ht="16" customHeight="1">
      <c r="A37" s="179" t="inlineStr">
        <is>
          <t>الإجماع: متوسط 38.8 | نطاق 31.1–50.0 | 8 محللين | محايد | مايو 2026</t>
        </is>
      </c>
    </row>
    <row r="38" ht="20" customHeight="1">
      <c r="A38" s="159" t="inlineStr">
        <is>
          <t>بنيان ريت</t>
        </is>
      </c>
      <c r="B38" s="224" t="inlineStr">
        <is>
          <t>4340</t>
        </is>
      </c>
      <c r="C38" s="160" t="n">
        <v>9.25</v>
      </c>
      <c r="D38" s="225" t="inlineStr">
        <is>
          <t>لا تغطية موثقة من بيوت خبرة</t>
        </is>
      </c>
      <c r="E38" s="226" t="inlineStr">
        <is>
          <t>—</t>
        </is>
      </c>
      <c r="F38" s="227" t="inlineStr">
        <is>
          <t>—</t>
        </is>
      </c>
      <c r="G38" s="23" t="inlineStr">
        <is>
          <t>—</t>
        </is>
      </c>
    </row>
    <row r="39" ht="16" customHeight="1">
      <c r="A39" s="179" t="inlineStr">
        <is>
          <t>لا يوجد إجماع موثق</t>
        </is>
      </c>
    </row>
    <row r="41" ht="18" customHeight="1">
      <c r="A41" s="228" t="inlineStr">
        <is>
          <t>🟢 Upside &gt; +5%  =  فرصة رأسمالية   |   🟡 بين ±5%  =  تقييم عادل   |   🔴 Downside &gt; -5%  =  مكلف أو بلغ هدفه</t>
        </is>
      </c>
    </row>
  </sheetData>
  <mergeCells count="12">
    <mergeCell ref="A13:G13"/>
    <mergeCell ref="A1:G1"/>
    <mergeCell ref="A17:G17"/>
    <mergeCell ref="A9:G9"/>
    <mergeCell ref="A21:G21"/>
    <mergeCell ref="A39:G39"/>
    <mergeCell ref="A2:G2"/>
    <mergeCell ref="A29:G29"/>
    <mergeCell ref="A25:G25"/>
    <mergeCell ref="A41:G41"/>
    <mergeCell ref="A33:G33"/>
    <mergeCell ref="A37:G3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45" customWidth="1" min="5" max="5"/>
    <col width="18" customWidth="1" min="6" max="6"/>
  </cols>
  <sheetData>
    <row r="1" ht="28" customHeight="1">
      <c r="A1" s="53" t="inlineStr">
        <is>
          <t>توصية تكوين المحفظة — محفظة متوازنة بين القيمة والنمو مع 15-20% كاش</t>
        </is>
      </c>
    </row>
    <row r="2" ht="28" customHeight="1">
      <c r="A2" s="86" t="inlineStr">
        <is>
          <t>الشركة / الأصل</t>
        </is>
      </c>
      <c r="B2" s="86" t="inlineStr">
        <is>
          <t>التصنيف</t>
        </is>
      </c>
      <c r="C2" s="86" t="inlineStr">
        <is>
          <t>الوزن المقترح %</t>
        </is>
      </c>
      <c r="D2" s="86" t="inlineStr">
        <is>
          <t>مبلغ مقترح (100K)</t>
        </is>
      </c>
      <c r="E2" s="86" t="inlineStr">
        <is>
          <t>المبرر</t>
        </is>
      </c>
      <c r="F2" s="86" t="inlineStr">
        <is>
          <t>مستوى المخاطرة</t>
        </is>
      </c>
    </row>
    <row r="3" ht="22" customHeight="1">
      <c r="A3" s="23" t="inlineStr">
        <is>
          <t>الراجحي</t>
        </is>
      </c>
      <c r="B3" s="229" t="inlineStr">
        <is>
          <t>Blend</t>
        </is>
      </c>
      <c r="C3" s="167" t="inlineStr">
        <is>
          <t>18%</t>
        </is>
      </c>
      <c r="D3" s="24" t="inlineStr">
        <is>
          <t>18,000 ريال</t>
        </is>
      </c>
      <c r="E3" s="230" t="inlineStr">
        <is>
          <t>نواة البنوك الإسلامية · توزيعات مستقرة · رؤية 2030</t>
        </is>
      </c>
      <c r="F3" s="231" t="inlineStr">
        <is>
          <t>منخفض-متوسط</t>
        </is>
      </c>
    </row>
    <row r="4" ht="22" customHeight="1">
      <c r="A4" s="23" t="inlineStr">
        <is>
          <t>STC</t>
        </is>
      </c>
      <c r="B4" s="229" t="inlineStr">
        <is>
          <t>Blend</t>
        </is>
      </c>
      <c r="C4" s="167" t="inlineStr">
        <is>
          <t>15%</t>
        </is>
      </c>
      <c r="D4" s="24" t="inlineStr">
        <is>
          <t>15,000 ريال</t>
        </is>
      </c>
      <c r="E4" s="230" t="inlineStr">
        <is>
          <t>أعلى عائد توزيع · البنية الرقمية الوطنية</t>
        </is>
      </c>
      <c r="F4" s="167" t="inlineStr">
        <is>
          <t>منخفض</t>
        </is>
      </c>
    </row>
    <row r="5" ht="22" customHeight="1">
      <c r="A5" s="38" t="inlineStr">
        <is>
          <t>اكسترا</t>
        </is>
      </c>
      <c r="B5" s="232" t="inlineStr">
        <is>
          <t>Value</t>
        </is>
      </c>
      <c r="C5" s="233" t="inlineStr">
        <is>
          <t>12%</t>
        </is>
      </c>
      <c r="D5" s="39" t="inlineStr">
        <is>
          <t>12,000 ريال</t>
        </is>
      </c>
      <c r="E5" s="234" t="inlineStr">
        <is>
          <t>قطاع التجزئة الدفاعي · توزيعات ممتازة · هامش أمان جيد</t>
        </is>
      </c>
      <c r="F5" s="235" t="inlineStr">
        <is>
          <t>منخفض-متوسط</t>
        </is>
      </c>
    </row>
    <row r="6" ht="22" customHeight="1">
      <c r="A6" s="38" t="inlineStr">
        <is>
          <t>المواساة</t>
        </is>
      </c>
      <c r="B6" s="232" t="inlineStr">
        <is>
          <t>Value</t>
        </is>
      </c>
      <c r="C6" s="233" t="inlineStr">
        <is>
          <t>10%</t>
        </is>
      </c>
      <c r="D6" s="39" t="inlineStr">
        <is>
          <t>10,000 ريال</t>
        </is>
      </c>
      <c r="E6" s="234" t="inlineStr">
        <is>
          <t>رعاية صحية دفاعية · توزيع سنوي منتظم</t>
        </is>
      </c>
      <c r="F6" s="233" t="inlineStr">
        <is>
          <t>منخفض</t>
        </is>
      </c>
    </row>
    <row r="7" ht="22" customHeight="1">
      <c r="A7" s="30" t="inlineStr">
        <is>
          <t>الإنماء</t>
        </is>
      </c>
      <c r="B7" s="236" t="inlineStr">
        <is>
          <t>Growth</t>
        </is>
      </c>
      <c r="C7" s="237" t="inlineStr">
        <is>
          <t>10%</t>
        </is>
      </c>
      <c r="D7" s="31" t="inlineStr">
        <is>
          <t>10,000 ريال</t>
        </is>
      </c>
      <c r="E7" s="238" t="inlineStr">
        <is>
          <t>أسرع البنوك نمواً · تراجع تقييم يوفر دخولاً جيدة</t>
        </is>
      </c>
      <c r="F7" s="239" t="inlineStr">
        <is>
          <t>منخفض-متوسط</t>
        </is>
      </c>
    </row>
    <row r="8" ht="22" customHeight="1">
      <c r="A8" s="30" t="inlineStr">
        <is>
          <t>سال</t>
        </is>
      </c>
      <c r="B8" s="236" t="inlineStr">
        <is>
          <t>Growth</t>
        </is>
      </c>
      <c r="C8" s="240" t="inlineStr">
        <is>
          <t>7%</t>
        </is>
      </c>
      <c r="D8" s="31" t="inlineStr">
        <is>
          <t>7,000 ريال</t>
        </is>
      </c>
      <c r="E8" s="238" t="inlineStr">
        <is>
          <t>الاستفادة من نمو قطاع الخدمات اللوجستية الجوية</t>
        </is>
      </c>
      <c r="F8" s="241" t="inlineStr">
        <is>
          <t>متوسط</t>
        </is>
      </c>
    </row>
    <row r="9" ht="22" customHeight="1">
      <c r="A9" s="38" t="inlineStr">
        <is>
          <t>بنيان ريت</t>
        </is>
      </c>
      <c r="B9" s="232" t="inlineStr">
        <is>
          <t>Value</t>
        </is>
      </c>
      <c r="C9" s="242" t="inlineStr">
        <is>
          <t>8%</t>
        </is>
      </c>
      <c r="D9" s="39" t="inlineStr">
        <is>
          <t>8,000 ريال</t>
        </is>
      </c>
      <c r="E9" s="234" t="inlineStr">
        <is>
          <t>دخل إيجاري ثابت · عائد توزيع مرتفع · تنويع القطاعات</t>
        </is>
      </c>
      <c r="F9" s="235" t="inlineStr">
        <is>
          <t>منخفض-متوسط</t>
        </is>
      </c>
    </row>
    <row r="10" ht="22" customHeight="1">
      <c r="A10" s="23" t="inlineStr">
        <is>
          <t>المتقدمة</t>
        </is>
      </c>
      <c r="B10" s="229" t="inlineStr">
        <is>
          <t>Blend</t>
        </is>
      </c>
      <c r="C10" s="243" t="inlineStr">
        <is>
          <t>5%</t>
        </is>
      </c>
      <c r="D10" s="24" t="inlineStr">
        <is>
          <t>5,000 ريال</t>
        </is>
      </c>
      <c r="E10" s="230" t="inlineStr">
        <is>
          <t>وزن محدود · مضاربة على العودة للربحية + رؤية 2030</t>
        </is>
      </c>
      <c r="F10" s="244" t="inlineStr">
        <is>
          <t>مرتفع</t>
        </is>
      </c>
    </row>
    <row r="11" ht="22" customHeight="1">
      <c r="A11" s="245" t="inlineStr">
        <is>
          <t>بدجت</t>
        </is>
      </c>
      <c r="B11" s="246" t="inlineStr">
        <is>
          <t>Growth</t>
        </is>
      </c>
      <c r="C11" s="247" t="inlineStr">
        <is>
          <t>0%</t>
        </is>
      </c>
      <c r="D11" s="248" t="inlineStr">
        <is>
          <t>—</t>
        </is>
      </c>
      <c r="E11" s="249" t="inlineStr">
        <is>
          <t>⚠ تأجيل حتى توضيح أسباب تراجع Q1 2026</t>
        </is>
      </c>
      <c r="F11" s="250" t="inlineStr">
        <is>
          <t>متوسط-مرتفع</t>
        </is>
      </c>
    </row>
    <row r="12" ht="22" customHeight="1">
      <c r="A12" s="251" t="inlineStr">
        <is>
          <t>كاش</t>
        </is>
      </c>
      <c r="B12" s="252" t="inlineStr">
        <is>
          <t>—</t>
        </is>
      </c>
      <c r="C12" s="253" t="inlineStr">
        <is>
          <t>15%</t>
        </is>
      </c>
      <c r="D12" s="254" t="inlineStr">
        <is>
          <t>15,000 ريال</t>
        </is>
      </c>
      <c r="E12" s="255" t="inlineStr">
        <is>
          <t>احتياطي للشراء عند الانخفاض · الحد الأدنى المقترح</t>
        </is>
      </c>
      <c r="F12" s="256" t="inlineStr">
        <is>
          <t>صفر</t>
        </is>
      </c>
    </row>
    <row r="14" ht="20" customHeight="1">
      <c r="A14" s="257" t="inlineStr">
        <is>
          <t>استراتيجية الشراء التدريجي (Staggered Entry):
• المرحلة 1 (الآن): الراجحي + STC + اكسترا + المواساة = 55% من المحفظة (على دفعتين)
• المرحلة 2 (عند الضعف أو بعد نتائج Q2 2026): الإنماء + بنيان ريت + سال = 25%
• المرحلة 3 (عند التأكد من انتعاش): المتقدمة = 5% (مضاربة)
• بدجت: انتظار نتائج Q2 2026 لفهم أسباب تراجع Q1 2026 قبل أي قرار
• الكاش 15-20%: للاستفادة من أي تراجع حاد في السوق
• إعادة توازن: كل 6 أشهر أو عند تجاوز أي ورقة للوزن بـ 5%</t>
        </is>
      </c>
    </row>
    <row r="15" ht="20" customHeight="1"/>
    <row r="16" ht="20" customHeight="1"/>
    <row r="17" ht="20" customHeight="1"/>
    <row r="18" ht="20" customHeight="1"/>
    <row r="19" ht="20" customHeight="1"/>
  </sheetData>
  <mergeCells count="2">
    <mergeCell ref="A14:H19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الراجحي (1120) — مصرفي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69.34999999999999</v>
      </c>
    </row>
    <row r="4">
      <c r="A4" s="261" t="inlineStr">
        <is>
          <t>رأس المال (م.ريال)</t>
        </is>
      </c>
      <c r="B4" s="262" t="n">
        <v>60000</v>
      </c>
    </row>
    <row r="5">
      <c r="A5" s="259" t="inlineStr">
        <is>
          <t>عدد الأسهم (م.سهم)</t>
        </is>
      </c>
      <c r="B5" s="260" t="n">
        <v>6000</v>
      </c>
    </row>
    <row r="6">
      <c r="A6" s="261" t="inlineStr">
        <is>
          <t>مضاعف الربحية (P/E)</t>
        </is>
      </c>
      <c r="B6" s="262" t="n">
        <v>14</v>
      </c>
    </row>
    <row r="7">
      <c r="A7" s="259" t="inlineStr">
        <is>
          <t>مضاعف الدفتري (P/B)</t>
        </is>
      </c>
      <c r="B7" s="260" t="n">
        <v>2.76</v>
      </c>
    </row>
    <row r="8">
      <c r="A8" s="261" t="inlineStr">
        <is>
          <t>عائد التوزيع %</t>
        </is>
      </c>
      <c r="B8" s="262" t="n">
        <v>3.9</v>
      </c>
    </row>
    <row r="9">
      <c r="A9" s="259" t="inlineStr">
        <is>
          <t>العائد على حقوق المساهمين %</t>
        </is>
      </c>
      <c r="B9" s="260" t="n">
        <v>20.2</v>
      </c>
    </row>
    <row r="10">
      <c r="A10" s="261" t="inlineStr">
        <is>
          <t>تصنيف المحفظة</t>
        </is>
      </c>
      <c r="B10" s="262" t="inlineStr">
        <is>
          <t>Blend</t>
        </is>
      </c>
    </row>
    <row r="11">
      <c r="A11" s="259" t="inlineStr">
        <is>
          <t>مستوى المخاطرة</t>
        </is>
      </c>
      <c r="B11" s="260" t="inlineStr">
        <is>
          <t>منخفض-متوسط</t>
        </is>
      </c>
    </row>
    <row r="12">
      <c r="A12" s="261" t="inlineStr">
        <is>
          <t>التوصية</t>
        </is>
      </c>
      <c r="B12" s="262" t="inlineStr">
        <is>
          <t>تراكم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23500</v>
      </c>
      <c r="C16" s="266" t="n">
        <v>30100</v>
      </c>
      <c r="D16" s="266" t="n">
        <v>29800</v>
      </c>
      <c r="E16" s="266" t="n">
        <v>34200</v>
      </c>
    </row>
    <row r="17">
      <c r="A17" s="265" t="inlineStr">
        <is>
          <t>صافي الربح</t>
        </is>
      </c>
      <c r="B17" s="266" t="n">
        <v>14979</v>
      </c>
      <c r="C17" s="266" t="n">
        <v>17151</v>
      </c>
      <c r="D17" s="266" t="n">
        <v>16621</v>
      </c>
      <c r="E17" s="266" t="n">
        <v>19722</v>
      </c>
    </row>
    <row r="18">
      <c r="A18" s="265" t="inlineStr">
        <is>
          <t>التدفق النقدي التشغيلي</t>
        </is>
      </c>
      <c r="B18" s="266" t="n">
        <v>12000</v>
      </c>
      <c r="C18" s="266" t="n">
        <v>16000</v>
      </c>
      <c r="D18" s="266" t="n">
        <v>14500</v>
      </c>
      <c r="E18" s="266" t="n">
        <v>18500</v>
      </c>
    </row>
    <row r="20" ht="32" customHeight="1">
      <c r="A20" s="267" t="inlineStr">
        <is>
          <t>رؤية 2030 والمحفزات: تمويل مشاريع عملاقة + صيرفة إسلامية + تمويل الأفراد + رقمنة الخدمات</t>
        </is>
      </c>
    </row>
    <row r="21" ht="32" customHeight="1">
      <c r="A21" s="268" t="inlineStr">
        <is>
          <t>المخاطر: متطلبات كفاية رأس المال (SAMA) · تأثير المنح على المعدلات للسهم · تنافسية ضيقة</t>
        </is>
      </c>
    </row>
    <row r="22" ht="28" customHeight="1">
      <c r="A22" s="269" t="inlineStr">
        <is>
          <t>⚠ تنبيه: ✅ بعد منح الأسهم (1 سهم مجاني لكل 2) → الأسهم أصبحت 6B سهم | سعر مُعدَّل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الإنماء (1150) — مصرفي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23.86</v>
      </c>
    </row>
    <row r="4">
      <c r="A4" s="261" t="inlineStr">
        <is>
          <t>رأس المال (م.ريال)</t>
        </is>
      </c>
      <c r="B4" s="262" t="n">
        <v>19922</v>
      </c>
    </row>
    <row r="5">
      <c r="A5" s="259" t="inlineStr">
        <is>
          <t>عدد الأسهم (م.سهم)</t>
        </is>
      </c>
      <c r="B5" s="260" t="n">
        <v>1992</v>
      </c>
    </row>
    <row r="6">
      <c r="A6" s="261" t="inlineStr">
        <is>
          <t>مضاعف الربحية (P/E)</t>
        </is>
      </c>
      <c r="B6" s="262" t="n">
        <v>9.4</v>
      </c>
    </row>
    <row r="7">
      <c r="A7" s="259" t="inlineStr">
        <is>
          <t>مضاعف الدفتري (P/B)</t>
        </is>
      </c>
      <c r="B7" s="260" t="n">
        <v>1.86</v>
      </c>
    </row>
    <row r="8">
      <c r="A8" s="261" t="inlineStr">
        <is>
          <t>عائد التوزيع %</t>
        </is>
      </c>
      <c r="B8" s="262" t="n">
        <v>4.4</v>
      </c>
    </row>
    <row r="9">
      <c r="A9" s="259" t="inlineStr">
        <is>
          <t>العائد على حقوق المساهمين %</t>
        </is>
      </c>
      <c r="B9" s="260" t="n">
        <v>21.3</v>
      </c>
    </row>
    <row r="10">
      <c r="A10" s="261" t="inlineStr">
        <is>
          <t>تصنيف المحفظة</t>
        </is>
      </c>
      <c r="B10" s="262" t="inlineStr">
        <is>
          <t>Growth</t>
        </is>
      </c>
    </row>
    <row r="11">
      <c r="A11" s="259" t="inlineStr">
        <is>
          <t>مستوى المخاطرة</t>
        </is>
      </c>
      <c r="B11" s="260" t="inlineStr">
        <is>
          <t>منخفض-متوسط</t>
        </is>
      </c>
    </row>
    <row r="12">
      <c r="A12" s="261" t="inlineStr">
        <is>
          <t>التوصية</t>
        </is>
      </c>
      <c r="B12" s="262" t="inlineStr">
        <is>
          <t>تراكم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5500</v>
      </c>
      <c r="C16" s="266" t="n">
        <v>7200</v>
      </c>
      <c r="D16" s="266" t="n">
        <v>8700</v>
      </c>
      <c r="E16" s="266" t="n">
        <v>10200</v>
      </c>
    </row>
    <row r="17">
      <c r="A17" s="265" t="inlineStr">
        <is>
          <t>صافي الربح</t>
        </is>
      </c>
      <c r="B17" s="266" t="n">
        <v>2714</v>
      </c>
      <c r="C17" s="266" t="n">
        <v>3599</v>
      </c>
      <c r="D17" s="266" t="n">
        <v>4839</v>
      </c>
      <c r="E17" s="266" t="n">
        <v>5832</v>
      </c>
    </row>
    <row r="18">
      <c r="A18" s="265" t="inlineStr">
        <is>
          <t>التدفق النقدي التشغيلي</t>
        </is>
      </c>
      <c r="B18" s="266" t="n">
        <v>3000</v>
      </c>
      <c r="C18" s="266" t="n">
        <v>4200</v>
      </c>
      <c r="D18" s="266" t="n">
        <v>5500</v>
      </c>
      <c r="E18" s="266" t="n">
        <v>6800</v>
      </c>
    </row>
    <row r="20" ht="32" customHeight="1">
      <c r="A20" s="267" t="inlineStr">
        <is>
          <t>رؤية 2030 والمحفزات: تمويل المشاريع الكبرى + تمويل الرهن العقاري + SME Lending + رقمنة</t>
        </is>
      </c>
    </row>
    <row r="21" ht="32" customHeight="1">
      <c r="A21" s="268" t="inlineStr">
        <is>
          <t>المخاطر: بنك أصغر نسبياً · انكشاف عقاري · سيولة تداول أقل</t>
        </is>
      </c>
    </row>
    <row r="22" ht="28" customHeight="1">
      <c r="A22" s="269" t="inlineStr">
        <is>
          <t>⚠ تنبيه: تحول إلى توزيعات ربعية منذ 2023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STC (7010) — اتصالات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43.54</v>
      </c>
    </row>
    <row r="4">
      <c r="A4" s="261" t="inlineStr">
        <is>
          <t>رأس المال (م.ريال)</t>
        </is>
      </c>
      <c r="B4" s="262" t="n">
        <v>50000</v>
      </c>
    </row>
    <row r="5">
      <c r="A5" s="259" t="inlineStr">
        <is>
          <t>عدد الأسهم (م.سهم)</t>
        </is>
      </c>
      <c r="B5" s="260" t="n">
        <v>5000</v>
      </c>
    </row>
    <row r="6">
      <c r="A6" s="261" t="inlineStr">
        <is>
          <t>مضاعف الربحية (P/E)</t>
        </is>
      </c>
      <c r="B6" s="262" t="n">
        <v>14.2</v>
      </c>
    </row>
    <row r="7">
      <c r="A7" s="259" t="inlineStr">
        <is>
          <t>مضاعف الدفتري (P/B)</t>
        </is>
      </c>
      <c r="B7" s="260" t="n">
        <v>3.82</v>
      </c>
    </row>
    <row r="8">
      <c r="A8" s="261" t="inlineStr">
        <is>
          <t>عائد التوزيع %</t>
        </is>
      </c>
      <c r="B8" s="262" t="n">
        <v>5.2</v>
      </c>
    </row>
    <row r="9">
      <c r="A9" s="259" t="inlineStr">
        <is>
          <t>العائد على حقوق المساهمين %</t>
        </is>
      </c>
      <c r="B9" s="260" t="n">
        <v>26.9</v>
      </c>
    </row>
    <row r="10">
      <c r="A10" s="261" t="inlineStr">
        <is>
          <t>تصنيف المحفظة</t>
        </is>
      </c>
      <c r="B10" s="262" t="inlineStr">
        <is>
          <t>Blend</t>
        </is>
      </c>
    </row>
    <row r="11">
      <c r="A11" s="259" t="inlineStr">
        <is>
          <t>مستوى المخاطرة</t>
        </is>
      </c>
      <c r="B11" s="260" t="inlineStr">
        <is>
          <t>منخفض</t>
        </is>
      </c>
    </row>
    <row r="12">
      <c r="A12" s="261" t="inlineStr">
        <is>
          <t>التوصية</t>
        </is>
      </c>
      <c r="B12" s="262" t="inlineStr">
        <is>
          <t>تراكم بقوة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63000</v>
      </c>
      <c r="C16" s="266" t="n">
        <v>67000</v>
      </c>
      <c r="D16" s="266" t="n">
        <v>71800</v>
      </c>
      <c r="E16" s="266" t="n">
        <v>75893</v>
      </c>
    </row>
    <row r="17">
      <c r="A17" s="265" t="inlineStr">
        <is>
          <t>صافي الربح</t>
        </is>
      </c>
      <c r="B17" s="266" t="n">
        <v>11100</v>
      </c>
      <c r="C17" s="266" t="n">
        <v>12200</v>
      </c>
      <c r="D17" s="266" t="n">
        <v>13300</v>
      </c>
      <c r="E17" s="266" t="n">
        <v>24689</v>
      </c>
    </row>
    <row r="18">
      <c r="A18" s="265" t="inlineStr">
        <is>
          <t>التدفق النقدي التشغيلي</t>
        </is>
      </c>
      <c r="B18" s="266" t="n">
        <v>18000</v>
      </c>
      <c r="C18" s="266" t="n">
        <v>20000</v>
      </c>
      <c r="D18" s="266" t="n">
        <v>22000</v>
      </c>
      <c r="E18" s="266" t="n">
        <v>24500</v>
      </c>
    </row>
    <row r="20" ht="32" customHeight="1">
      <c r="A20" s="267" t="inlineStr">
        <is>
          <t>رؤية 2030 والمحفزات: البنية الرقمية الوطنية + 5G + STC Pay + حلول سحابة للقطاع الحكومي</t>
        </is>
      </c>
    </row>
    <row r="21" ht="32" customHeight="1">
      <c r="A21" s="268" t="inlineStr">
        <is>
          <t>المخاطر: CAPEX مرتفع · ملكية حكومية قد تؤثر على قرارات التوزيع · منافسة موبايلي/زين</t>
        </is>
      </c>
    </row>
    <row r="22" ht="28" customHeight="1">
      <c r="A22" s="269" t="inlineStr">
        <is>
          <t>⚠ تنبيه: ⚠ ربح 2024 (24.7B) يشمل بيع TAWAL (13.97B غير متكرر) → الربح الجاري ≈ 10.7B ريال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سال (4263) — لوجستيات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168</v>
      </c>
    </row>
    <row r="4">
      <c r="A4" s="261" t="inlineStr">
        <is>
          <t>رأس المال (م.ريال)</t>
        </is>
      </c>
      <c r="B4" s="262" t="n">
        <v>800</v>
      </c>
    </row>
    <row r="5">
      <c r="A5" s="259" t="inlineStr">
        <is>
          <t>عدد الأسهم (م.سهم)</t>
        </is>
      </c>
      <c r="B5" s="260" t="n">
        <v>80</v>
      </c>
    </row>
    <row r="6">
      <c r="A6" s="261" t="inlineStr">
        <is>
          <t>مضاعف الربحية (P/E)</t>
        </is>
      </c>
      <c r="B6" s="262" t="n">
        <v>22.4</v>
      </c>
    </row>
    <row r="7">
      <c r="A7" s="259" t="inlineStr">
        <is>
          <t>مضاعف الدفتري (P/B)</t>
        </is>
      </c>
      <c r="B7" s="260" t="n">
        <v>6.4</v>
      </c>
    </row>
    <row r="8">
      <c r="A8" s="261" t="inlineStr">
        <is>
          <t>عائد التوزيع %</t>
        </is>
      </c>
      <c r="B8" s="262" t="n">
        <v>1.8</v>
      </c>
    </row>
    <row r="9">
      <c r="A9" s="259" t="inlineStr">
        <is>
          <t>العائد على حقوق المساهمين %</t>
        </is>
      </c>
      <c r="B9" s="260" t="n">
        <v>30.5</v>
      </c>
    </row>
    <row r="10">
      <c r="A10" s="261" t="inlineStr">
        <is>
          <t>تصنيف المحفظة</t>
        </is>
      </c>
      <c r="B10" s="262" t="inlineStr">
        <is>
          <t>Growth</t>
        </is>
      </c>
    </row>
    <row r="11">
      <c r="A11" s="259" t="inlineStr">
        <is>
          <t>مستوى المخاطرة</t>
        </is>
      </c>
      <c r="B11" s="260" t="inlineStr">
        <is>
          <t>متوسط</t>
        </is>
      </c>
    </row>
    <row r="12">
      <c r="A12" s="261" t="inlineStr">
        <is>
          <t>التوصية</t>
        </is>
      </c>
      <c r="B12" s="262" t="inlineStr">
        <is>
          <t>مراقبة / تراكم تدريجي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900</v>
      </c>
      <c r="C16" s="266" t="n">
        <v>1100</v>
      </c>
      <c r="D16" s="266" t="n">
        <v>1452</v>
      </c>
      <c r="E16" s="266" t="n">
        <v>1630</v>
      </c>
    </row>
    <row r="17">
      <c r="A17" s="265" t="inlineStr">
        <is>
          <t>صافي الربح</t>
        </is>
      </c>
      <c r="B17" s="266" t="n">
        <v>320</v>
      </c>
      <c r="C17" s="266" t="n">
        <v>450</v>
      </c>
      <c r="D17" s="266" t="n">
        <v>511</v>
      </c>
      <c r="E17" s="266" t="n">
        <v>661</v>
      </c>
    </row>
    <row r="18">
      <c r="A18" s="265" t="inlineStr">
        <is>
          <t>التدفق النقدي التشغيلي</t>
        </is>
      </c>
      <c r="B18" s="266" t="n">
        <v>400</v>
      </c>
      <c r="C18" s="266" t="n">
        <v>550</v>
      </c>
      <c r="D18" s="266" t="n">
        <v>680</v>
      </c>
      <c r="E18" s="266" t="n">
        <v>820</v>
      </c>
    </row>
    <row r="20" ht="32" customHeight="1">
      <c r="A20" s="267" t="inlineStr">
        <is>
          <t>رؤية 2030 والمحفزات: مطار الملك سلمان الدولي + نمو الشحن الجوي + خدمات الخطوط السعودية</t>
        </is>
      </c>
    </row>
    <row r="21" ht="32" customHeight="1">
      <c r="A21" s="268" t="inlineStr">
        <is>
          <t>المخاطر: تركيز عملاء عالٍ · IPO تقييم مرتفع · بيانات تاريخية قصيرة · تذبذب الأسعار</t>
        </is>
      </c>
    </row>
    <row r="22" ht="28" customHeight="1">
      <c r="A22" s="269" t="inlineStr">
        <is>
          <t>⚠ تنبيه: IPO حديث (2022) - بيانات تاريخية محدودة | ✅ إيرادات 2024: 1.63B ريال (تحقق)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المواساة (4002) — رعاية صحية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59.1</v>
      </c>
    </row>
    <row r="4">
      <c r="A4" s="261" t="inlineStr">
        <is>
          <t>رأس المال (م.ريال)</t>
        </is>
      </c>
      <c r="B4" s="262" t="n">
        <v>2000</v>
      </c>
    </row>
    <row r="5">
      <c r="A5" s="259" t="inlineStr">
        <is>
          <t>عدد الأسهم (م.سهم)</t>
        </is>
      </c>
      <c r="B5" s="260" t="n">
        <v>200</v>
      </c>
    </row>
    <row r="6">
      <c r="A6" s="261" t="inlineStr">
        <is>
          <t>مضاعف الربحية (P/E)</t>
        </is>
      </c>
      <c r="B6" s="262" t="n">
        <v>20.7</v>
      </c>
    </row>
    <row r="7">
      <c r="A7" s="259" t="inlineStr">
        <is>
          <t>مضاعف الدفتري (P/B)</t>
        </is>
      </c>
      <c r="B7" s="260" t="n">
        <v>3.35</v>
      </c>
    </row>
    <row r="8">
      <c r="A8" s="261" t="inlineStr">
        <is>
          <t>عائد التوزيع %</t>
        </is>
      </c>
      <c r="B8" s="262" t="n">
        <v>3</v>
      </c>
    </row>
    <row r="9">
      <c r="A9" s="259" t="inlineStr">
        <is>
          <t>العائد على حقوق المساهمين %</t>
        </is>
      </c>
      <c r="B9" s="260" t="n">
        <v>17.3</v>
      </c>
    </row>
    <row r="10">
      <c r="A10" s="261" t="inlineStr">
        <is>
          <t>تصنيف المحفظة</t>
        </is>
      </c>
      <c r="B10" s="262" t="inlineStr">
        <is>
          <t>Value</t>
        </is>
      </c>
    </row>
    <row r="11">
      <c r="A11" s="259" t="inlineStr">
        <is>
          <t>مستوى المخاطرة</t>
        </is>
      </c>
      <c r="B11" s="260" t="inlineStr">
        <is>
          <t>منخفض</t>
        </is>
      </c>
    </row>
    <row r="12">
      <c r="A12" s="261" t="inlineStr">
        <is>
          <t>التوصية</t>
        </is>
      </c>
      <c r="B12" s="262" t="inlineStr">
        <is>
          <t>احتفاظ / تراكم عند الضعف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2050</v>
      </c>
      <c r="C16" s="266" t="n">
        <v>2400</v>
      </c>
      <c r="D16" s="266" t="n">
        <v>2706</v>
      </c>
      <c r="E16" s="266" t="n">
        <v>2879</v>
      </c>
    </row>
    <row r="17">
      <c r="A17" s="265" t="inlineStr">
        <is>
          <t>صافي الربح</t>
        </is>
      </c>
      <c r="B17" s="266" t="n">
        <v>520</v>
      </c>
      <c r="C17" s="266" t="n">
        <v>680</v>
      </c>
      <c r="D17" s="266" t="n">
        <v>658</v>
      </c>
      <c r="E17" s="266" t="n">
        <v>646</v>
      </c>
    </row>
    <row r="18">
      <c r="A18" s="265" t="inlineStr">
        <is>
          <t>التدفق النقدي التشغيلي</t>
        </is>
      </c>
      <c r="B18" s="266" t="n">
        <v>650</v>
      </c>
      <c r="C18" s="266" t="n">
        <v>820</v>
      </c>
      <c r="D18" s="266" t="n">
        <v>800</v>
      </c>
      <c r="E18" s="266" t="n">
        <v>780</v>
      </c>
    </row>
    <row r="20" ht="32" customHeight="1">
      <c r="A20" s="267" t="inlineStr">
        <is>
          <t>رؤية 2030 والمحفزات: خصخصة الصحة + التأمين الإلزامي + السياحة الطبية + توسع في المدينة</t>
        </is>
      </c>
    </row>
    <row r="21" ht="32" customHeight="1">
      <c r="A21" s="268" t="inlineStr">
        <is>
          <t>المخاطر: تراجع هامش الربح · شح الكوادر الطبية · تنافسية القطاع الخاص المتنامية</t>
        </is>
      </c>
    </row>
    <row r="22" ht="28" customHeight="1">
      <c r="A22" s="269" t="inlineStr">
        <is>
          <t>⚠ تنبيه: توزيع سنوي ثابت منذ الإدراج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بدجت (4260) — خدمات استهلاكية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75.90000000000001</v>
      </c>
    </row>
    <row r="4">
      <c r="A4" s="261" t="inlineStr">
        <is>
          <t>رأس المال (م.ريال)</t>
        </is>
      </c>
      <c r="B4" s="262" t="n">
        <v>1000</v>
      </c>
    </row>
    <row r="5">
      <c r="A5" s="259" t="inlineStr">
        <is>
          <t>عدد الأسهم (م.سهم)</t>
        </is>
      </c>
      <c r="B5" s="260" t="n">
        <v>100</v>
      </c>
    </row>
    <row r="6">
      <c r="A6" s="261" t="inlineStr">
        <is>
          <t>مضاعف الربحية (P/E)</t>
        </is>
      </c>
      <c r="B6" s="262" t="n">
        <v>12.2</v>
      </c>
    </row>
    <row r="7">
      <c r="A7" s="259" t="inlineStr">
        <is>
          <t>مضاعف الدفتري (P/B)</t>
        </is>
      </c>
      <c r="B7" s="260" t="n">
        <v>2</v>
      </c>
    </row>
    <row r="8">
      <c r="A8" s="261" t="inlineStr">
        <is>
          <t>عائد التوزيع %</t>
        </is>
      </c>
      <c r="B8" s="262" t="n">
        <v>3.8</v>
      </c>
    </row>
    <row r="9">
      <c r="A9" s="259" t="inlineStr">
        <is>
          <t>العائد على حقوق المساهمين %</t>
        </is>
      </c>
      <c r="B9" s="260" t="n">
        <v>17.4</v>
      </c>
    </row>
    <row r="10">
      <c r="A10" s="261" t="inlineStr">
        <is>
          <t>تصنيف المحفظة</t>
        </is>
      </c>
      <c r="B10" s="262" t="inlineStr">
        <is>
          <t>Growth</t>
        </is>
      </c>
    </row>
    <row r="11">
      <c r="A11" s="259" t="inlineStr">
        <is>
          <t>مستوى المخاطرة</t>
        </is>
      </c>
      <c r="B11" s="260" t="inlineStr">
        <is>
          <t>متوسط-مرتفع</t>
        </is>
      </c>
    </row>
    <row r="12">
      <c r="A12" s="261" t="inlineStr">
        <is>
          <t>التوصية</t>
        </is>
      </c>
      <c r="B12" s="262" t="inlineStr">
        <is>
          <t>مراقبة - انتظار توضيح Q1 2026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1200</v>
      </c>
      <c r="C16" s="266" t="n">
        <v>1500</v>
      </c>
      <c r="D16" s="266" t="n">
        <v>1750</v>
      </c>
      <c r="E16" s="266" t="n">
        <v>1980</v>
      </c>
    </row>
    <row r="17">
      <c r="A17" s="265" t="inlineStr">
        <is>
          <t>صافي الربح</t>
        </is>
      </c>
      <c r="B17" s="266" t="n">
        <v>185</v>
      </c>
      <c r="C17" s="266" t="n">
        <v>240</v>
      </c>
      <c r="D17" s="266" t="n">
        <v>277</v>
      </c>
      <c r="E17" s="266" t="n">
        <v>312</v>
      </c>
    </row>
    <row r="18">
      <c r="A18" s="265" t="inlineStr">
        <is>
          <t>التدفق النقدي التشغيلي</t>
        </is>
      </c>
      <c r="B18" s="266" t="n">
        <v>380</v>
      </c>
      <c r="C18" s="266" t="n">
        <v>460</v>
      </c>
      <c r="D18" s="266" t="n">
        <v>510</v>
      </c>
      <c r="E18" s="266" t="n">
        <v>550</v>
      </c>
    </row>
    <row r="20" ht="32" customHeight="1">
      <c r="A20" s="267" t="inlineStr">
        <is>
          <t>رؤية 2030 والمحفزات: السياحة + الفعاليات والترفيه + تأجير أسطول NEOM + نمو المطارات</t>
        </is>
      </c>
    </row>
    <row r="21" ht="32" customHeight="1">
      <c r="A21" s="268" t="inlineStr">
        <is>
          <t>المخاطر: ⚠ تراجع ربح Q1 2026 بـ58% · رأس مال مكثف للأسطول · منافسة منصات المشاركة</t>
        </is>
      </c>
    </row>
    <row r="22" ht="28" customHeight="1">
      <c r="A22" s="269" t="inlineStr">
        <is>
          <t>⚠ تنبيه: ⚠ انخفاض أرباح Q1 2026 بنسبة 58% - يستوجب مراقبة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اكسترا (4003) — تجزئة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81.90000000000001</v>
      </c>
    </row>
    <row r="4">
      <c r="A4" s="261" t="inlineStr">
        <is>
          <t>رأس المال (م.ريال)</t>
        </is>
      </c>
      <c r="B4" s="262" t="n">
        <v>800</v>
      </c>
    </row>
    <row r="5">
      <c r="A5" s="259" t="inlineStr">
        <is>
          <t>عدد الأسهم (م.سهم)</t>
        </is>
      </c>
      <c r="B5" s="260" t="n">
        <v>80</v>
      </c>
    </row>
    <row r="6">
      <c r="A6" s="261" t="inlineStr">
        <is>
          <t>مضاعف الربحية (P/E)</t>
        </is>
      </c>
      <c r="B6" s="262" t="n">
        <v>14.4</v>
      </c>
    </row>
    <row r="7">
      <c r="A7" s="259" t="inlineStr">
        <is>
          <t>مضاعف الدفتري (P/B)</t>
        </is>
      </c>
      <c r="B7" s="260" t="n">
        <v>4</v>
      </c>
    </row>
    <row r="8">
      <c r="A8" s="261" t="inlineStr">
        <is>
          <t>عائد التوزيع %</t>
        </is>
      </c>
      <c r="B8" s="262" t="n">
        <v>5.3</v>
      </c>
    </row>
    <row r="9">
      <c r="A9" s="259" t="inlineStr">
        <is>
          <t>العائد على حقوق المساهمين %</t>
        </is>
      </c>
      <c r="B9" s="260" t="n">
        <v>30.1</v>
      </c>
    </row>
    <row r="10">
      <c r="A10" s="261" t="inlineStr">
        <is>
          <t>تصنيف المحفظة</t>
        </is>
      </c>
      <c r="B10" s="262" t="inlineStr">
        <is>
          <t>Value</t>
        </is>
      </c>
    </row>
    <row r="11">
      <c r="A11" s="259" t="inlineStr">
        <is>
          <t>مستوى المخاطرة</t>
        </is>
      </c>
      <c r="B11" s="260" t="inlineStr">
        <is>
          <t>منخفض-متوسط</t>
        </is>
      </c>
    </row>
    <row r="12">
      <c r="A12" s="261" t="inlineStr">
        <is>
          <t>التوصية</t>
        </is>
      </c>
      <c r="B12" s="262" t="inlineStr">
        <is>
          <t>تراكم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4500</v>
      </c>
      <c r="C16" s="266" t="n">
        <v>5200</v>
      </c>
      <c r="D16" s="266" t="n">
        <v>5800</v>
      </c>
      <c r="E16" s="266" t="n">
        <v>6781</v>
      </c>
    </row>
    <row r="17">
      <c r="A17" s="265" t="inlineStr">
        <is>
          <t>صافي الربح</t>
        </is>
      </c>
      <c r="B17" s="266" t="n">
        <v>280</v>
      </c>
      <c r="C17" s="266" t="n">
        <v>340</v>
      </c>
      <c r="D17" s="266" t="n">
        <v>390</v>
      </c>
      <c r="E17" s="266" t="n">
        <v>534</v>
      </c>
    </row>
    <row r="18">
      <c r="A18" s="265" t="inlineStr">
        <is>
          <t>التدفق النقدي التشغيلي</t>
        </is>
      </c>
      <c r="B18" s="266" t="n">
        <v>350</v>
      </c>
      <c r="C18" s="266" t="n">
        <v>430</v>
      </c>
      <c r="D18" s="266" t="n">
        <v>500</v>
      </c>
      <c r="E18" s="266" t="n">
        <v>620</v>
      </c>
    </row>
    <row r="20" ht="32" customHeight="1">
      <c r="A20" s="267" t="inlineStr">
        <is>
          <t>رؤية 2030 والمحفزات: نمو الإنفاق الاستهلاكي + التحول الرقمي + تراخيص جديدة + توسع جغرافي</t>
        </is>
      </c>
    </row>
    <row r="21" ht="32" customHeight="1">
      <c r="A21" s="268" t="inlineStr">
        <is>
          <t>المخاطر: منافسة أمازون.sa ونون · ضغط هوامش التجزئة · التحدي الرقمي</t>
        </is>
      </c>
    </row>
    <row r="22" ht="28" customHeight="1">
      <c r="A22" s="269" t="inlineStr">
        <is>
          <t>⚠ تنبيه: ✅ توزيع استثنائي أغسطس 2024: 5 ريال/سهم من الاحتياطيات | ربح FY2024: 534.5M ريال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المتقدمة (2330) — بتروكيماويات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34.12</v>
      </c>
    </row>
    <row r="4">
      <c r="A4" s="261" t="inlineStr">
        <is>
          <t>رأس المال (م.ريال)</t>
        </is>
      </c>
      <c r="B4" s="262" t="n">
        <v>1250</v>
      </c>
    </row>
    <row r="5">
      <c r="A5" s="259" t="inlineStr">
        <is>
          <t>عدد الأسهم (م.سهم)</t>
        </is>
      </c>
      <c r="B5" s="260" t="n">
        <v>125</v>
      </c>
    </row>
    <row r="6">
      <c r="A6" s="261" t="inlineStr">
        <is>
          <t>مضاعف الربحية (P/E)</t>
        </is>
      </c>
      <c r="B6" s="262" t="n"/>
    </row>
    <row r="7">
      <c r="A7" s="259" t="inlineStr">
        <is>
          <t>مضاعف الدفتري (P/B)</t>
        </is>
      </c>
      <c r="B7" s="260" t="n">
        <v>3</v>
      </c>
    </row>
    <row r="8">
      <c r="A8" s="261" t="inlineStr">
        <is>
          <t>عائد التوزيع %</t>
        </is>
      </c>
      <c r="B8" s="262" t="n">
        <v>0</v>
      </c>
    </row>
    <row r="9">
      <c r="A9" s="259" t="inlineStr">
        <is>
          <t>العائد على حقوق المساهمين %</t>
        </is>
      </c>
      <c r="B9" s="260" t="n"/>
    </row>
    <row r="10">
      <c r="A10" s="261" t="inlineStr">
        <is>
          <t>تصنيف المحفظة</t>
        </is>
      </c>
      <c r="B10" s="262" t="inlineStr">
        <is>
          <t>Blend</t>
        </is>
      </c>
    </row>
    <row r="11">
      <c r="A11" s="259" t="inlineStr">
        <is>
          <t>مستوى المخاطرة</t>
        </is>
      </c>
      <c r="B11" s="260" t="inlineStr">
        <is>
          <t>مرتفع</t>
        </is>
      </c>
    </row>
    <row r="12">
      <c r="A12" s="261" t="inlineStr">
        <is>
          <t>التوصية</t>
        </is>
      </c>
      <c r="B12" s="262" t="inlineStr">
        <is>
          <t>مضاربة / وزن محدود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2100</v>
      </c>
      <c r="C16" s="266" t="n">
        <v>2400</v>
      </c>
      <c r="D16" s="266" t="n">
        <v>1900</v>
      </c>
      <c r="E16" s="266" t="n">
        <v>1700</v>
      </c>
    </row>
    <row r="17">
      <c r="A17" s="265" t="inlineStr">
        <is>
          <t>صافي الربح</t>
        </is>
      </c>
      <c r="B17" s="266" t="n">
        <v>380</v>
      </c>
      <c r="C17" s="266" t="n">
        <v>320</v>
      </c>
      <c r="D17" s="266" t="n">
        <v>85</v>
      </c>
      <c r="E17" s="270" t="n">
        <v>-259</v>
      </c>
    </row>
    <row r="18">
      <c r="A18" s="265" t="inlineStr">
        <is>
          <t>التدفق النقدي التشغيلي</t>
        </is>
      </c>
      <c r="B18" s="266" t="n">
        <v>450</v>
      </c>
      <c r="C18" s="266" t="n">
        <v>380</v>
      </c>
      <c r="D18" s="266" t="n">
        <v>180</v>
      </c>
      <c r="E18" s="266" t="n">
        <v>50</v>
      </c>
    </row>
    <row r="20" ht="32" customHeight="1">
      <c r="A20" s="267" t="inlineStr">
        <is>
          <t>رؤية 2030 والمحفزات: تحويل البلاستيك للمواد الإنشائية (NEOM) + طاقة انتاجية جديدة + تنويع المنتجات</t>
        </is>
      </c>
    </row>
    <row r="21" ht="32" customHeight="1">
      <c r="A21" s="268" t="inlineStr">
        <is>
          <t>المخاطر: ⚠ دورية البتروكيماويات · خسارة 2024 · أسعار البروبيلين العالمية · منافسة صينية</t>
        </is>
      </c>
    </row>
    <row r="22" ht="28" customHeight="1">
      <c r="A22" s="269" t="inlineStr">
        <is>
          <t>⚠ تنبيه: ⚠ لا توزيعات 2023-2024 بسبب الخسارة | العودة للربحية Q1 2025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بنيان ريت (4340) — صندوق عقاري (REIT)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9.25</v>
      </c>
    </row>
    <row r="4">
      <c r="A4" s="261" t="inlineStr">
        <is>
          <t>رأس المال (م.ريال)</t>
        </is>
      </c>
      <c r="B4" s="262" t="n">
        <v>1630</v>
      </c>
    </row>
    <row r="5">
      <c r="A5" s="259" t="inlineStr">
        <is>
          <t>عدد الأسهم (م.سهم)</t>
        </is>
      </c>
      <c r="B5" s="260" t="n">
        <v>163</v>
      </c>
    </row>
    <row r="6">
      <c r="A6" s="261" t="inlineStr">
        <is>
          <t>مضاعف الربحية (P/E)</t>
        </is>
      </c>
      <c r="B6" s="262" t="n">
        <v>14.1</v>
      </c>
    </row>
    <row r="7">
      <c r="A7" s="259" t="inlineStr">
        <is>
          <t>مضاعف الدفتري (P/B)</t>
        </is>
      </c>
      <c r="B7" s="260" t="n">
        <v>1.03</v>
      </c>
    </row>
    <row r="8">
      <c r="A8" s="261" t="inlineStr">
        <is>
          <t>عائد التوزيع %</t>
        </is>
      </c>
      <c r="B8" s="262" t="n">
        <v>7.5</v>
      </c>
    </row>
    <row r="9">
      <c r="A9" s="259" t="inlineStr">
        <is>
          <t>العائد على حقوق المساهمين %</t>
        </is>
      </c>
      <c r="B9" s="260" t="n">
        <v>7.3</v>
      </c>
    </row>
    <row r="10">
      <c r="A10" s="261" t="inlineStr">
        <is>
          <t>تصنيف المحفظة</t>
        </is>
      </c>
      <c r="B10" s="262" t="inlineStr">
        <is>
          <t>Value</t>
        </is>
      </c>
    </row>
    <row r="11">
      <c r="A11" s="259" t="inlineStr">
        <is>
          <t>مستوى المخاطرة</t>
        </is>
      </c>
      <c r="B11" s="260" t="inlineStr">
        <is>
          <t>منخفض-متوسط</t>
        </is>
      </c>
    </row>
    <row r="12">
      <c r="A12" s="261" t="inlineStr">
        <is>
          <t>التوصية</t>
        </is>
      </c>
      <c r="B12" s="262" t="inlineStr">
        <is>
          <t>احتفاظ للدخل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140</v>
      </c>
      <c r="C16" s="266" t="n">
        <v>155</v>
      </c>
      <c r="D16" s="266" t="n">
        <v>170</v>
      </c>
      <c r="E16" s="266" t="n">
        <v>190</v>
      </c>
    </row>
    <row r="17">
      <c r="A17" s="265" t="inlineStr">
        <is>
          <t>صافي الربح</t>
        </is>
      </c>
      <c r="B17" s="266" t="n">
        <v>85</v>
      </c>
      <c r="C17" s="266" t="n">
        <v>95</v>
      </c>
      <c r="D17" s="266" t="n">
        <v>105</v>
      </c>
      <c r="E17" s="266" t="n">
        <v>118</v>
      </c>
    </row>
    <row r="18">
      <c r="A18" s="265" t="inlineStr">
        <is>
          <t>التدفق النقدي التشغيلي</t>
        </is>
      </c>
      <c r="B18" s="266" t="n">
        <v>90</v>
      </c>
      <c r="C18" s="266" t="n">
        <v>100</v>
      </c>
      <c r="D18" s="266" t="n">
        <v>115</v>
      </c>
      <c r="E18" s="266" t="n">
        <v>130</v>
      </c>
    </row>
    <row r="20" ht="32" customHeight="1">
      <c r="A20" s="267" t="inlineStr">
        <is>
          <t>رؤية 2030 والمحفزات: نمو القطاع العقاري + الطلب السياحي + نمو الإيجارات التجارية</t>
        </is>
      </c>
    </row>
    <row r="21" ht="32" customHeight="1">
      <c r="A21" s="268" t="inlineStr">
        <is>
          <t>المخاطر: حساسية أسعار الفائدة · جودة المستأجرين · إعادة التقييم العقاري · تركيز الأصول</t>
        </is>
      </c>
    </row>
    <row r="22" ht="28" customHeight="1">
      <c r="A22" s="269" t="inlineStr">
        <is>
          <t>⚠ تنبيه: توزيع نصف سنوي إلزامي ≥90% من الدخل الصافي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2026-05-09T02:15:51Z</dcterms:created>
  <dcterms:modified xsi:type="dcterms:W3CDTF">2026-05-09T02:15:51Z</dcterms:modified>
</cp:coreProperties>
</file>